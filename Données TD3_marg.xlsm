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d.docs.live.net/ef22bf439785b45b/Documents/ESILV/Calibration/"/>
    </mc:Choice>
  </mc:AlternateContent>
  <xr:revisionPtr revIDLastSave="2" documentId="8_{8B5DE73A-9726-41C3-8EAA-BDE63BDE6581}" xr6:coauthVersionLast="47" xr6:coauthVersionMax="47" xr10:uidLastSave="{6E3B93F6-24D5-43CA-B3A6-F0AF17FB15DA}"/>
  <bookViews>
    <workbookView xWindow="-108" yWindow="-108" windowWidth="23256" windowHeight="12456" xr2:uid="{00000000-000D-0000-FFFF-FFFF00000000}"/>
  </bookViews>
  <sheets>
    <sheet name="TD3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1" l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4" i="1"/>
  <c r="M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4" i="1"/>
  <c r="K5" i="1" a="1"/>
  <c r="K9" i="1" a="1"/>
  <c r="K13" i="1" a="1"/>
  <c r="K17" i="1" a="1"/>
  <c r="K21" i="1" a="1"/>
  <c r="K25" i="1" a="1"/>
  <c r="K29" i="1" a="1"/>
  <c r="K33" i="1" a="1"/>
  <c r="K37" i="1" a="1"/>
  <c r="K41" i="1" a="1"/>
  <c r="K45" i="1" a="1"/>
  <c r="K49" i="1" a="1"/>
  <c r="K53" i="1" a="1"/>
  <c r="K57" i="1" a="1"/>
  <c r="K61" i="1" a="1"/>
  <c r="K65" i="1" a="1"/>
  <c r="K69" i="1" a="1"/>
  <c r="K73" i="1" a="1"/>
  <c r="K77" i="1" a="1"/>
  <c r="K81" i="1" a="1"/>
  <c r="K85" i="1" a="1"/>
  <c r="K89" i="1" a="1"/>
  <c r="K93" i="1" a="1"/>
  <c r="K97" i="1" a="1"/>
  <c r="K101" i="1" a="1"/>
  <c r="K105" i="1" a="1"/>
  <c r="K109" i="1" a="1"/>
  <c r="K113" i="1" a="1"/>
  <c r="K117" i="1" a="1"/>
  <c r="K121" i="1" a="1"/>
  <c r="K125" i="1" a="1"/>
  <c r="K129" i="1" a="1"/>
  <c r="K133" i="1" a="1"/>
  <c r="K137" i="1" a="1"/>
  <c r="K141" i="1" a="1"/>
  <c r="K145" i="1" a="1"/>
  <c r="K149" i="1" a="1"/>
  <c r="K153" i="1" a="1"/>
  <c r="K157" i="1" a="1"/>
  <c r="K161" i="1" a="1"/>
  <c r="K165" i="1" a="1"/>
  <c r="K169" i="1" a="1"/>
  <c r="K173" i="1" a="1"/>
  <c r="K177" i="1" a="1"/>
  <c r="K181" i="1" a="1"/>
  <c r="K185" i="1" a="1"/>
  <c r="K189" i="1" a="1"/>
  <c r="K193" i="1" a="1"/>
  <c r="K197" i="1" a="1"/>
  <c r="K201" i="1" a="1"/>
  <c r="K205" i="1" a="1"/>
  <c r="K209" i="1" a="1"/>
  <c r="K213" i="1" a="1"/>
  <c r="K217" i="1" a="1"/>
  <c r="K221" i="1" a="1"/>
  <c r="K225" i="1" a="1"/>
  <c r="K229" i="1" a="1"/>
  <c r="K233" i="1" a="1"/>
  <c r="K237" i="1" a="1"/>
  <c r="K241" i="1" a="1"/>
  <c r="K245" i="1" a="1"/>
  <c r="K249" i="1" a="1"/>
  <c r="K253" i="1" a="1"/>
  <c r="K257" i="1" a="1"/>
  <c r="K6" i="1" a="1"/>
  <c r="K10" i="1" a="1"/>
  <c r="K14" i="1" a="1"/>
  <c r="K18" i="1" a="1"/>
  <c r="K22" i="1" a="1"/>
  <c r="K26" i="1" a="1"/>
  <c r="K30" i="1" a="1"/>
  <c r="K34" i="1" a="1"/>
  <c r="K38" i="1" a="1"/>
  <c r="K42" i="1" a="1"/>
  <c r="K46" i="1" a="1"/>
  <c r="K50" i="1" a="1"/>
  <c r="K54" i="1" a="1"/>
  <c r="K58" i="1" a="1"/>
  <c r="K62" i="1" a="1"/>
  <c r="K66" i="1" a="1"/>
  <c r="K70" i="1" a="1"/>
  <c r="K74" i="1" a="1"/>
  <c r="K78" i="1" a="1"/>
  <c r="K82" i="1" a="1"/>
  <c r="K86" i="1" a="1"/>
  <c r="K90" i="1" a="1"/>
  <c r="K94" i="1" a="1"/>
  <c r="K98" i="1" a="1"/>
  <c r="K102" i="1" a="1"/>
  <c r="K106" i="1" a="1"/>
  <c r="K110" i="1" a="1"/>
  <c r="K114" i="1" a="1"/>
  <c r="K118" i="1" a="1"/>
  <c r="K122" i="1" a="1"/>
  <c r="K126" i="1" a="1"/>
  <c r="K130" i="1" a="1"/>
  <c r="K134" i="1" a="1"/>
  <c r="K138" i="1" a="1"/>
  <c r="K142" i="1" a="1"/>
  <c r="K146" i="1" a="1"/>
  <c r="K150" i="1" a="1"/>
  <c r="K154" i="1" a="1"/>
  <c r="K158" i="1" a="1"/>
  <c r="K162" i="1" a="1"/>
  <c r="K166" i="1" a="1"/>
  <c r="K170" i="1" a="1"/>
  <c r="K174" i="1" a="1"/>
  <c r="K178" i="1" a="1"/>
  <c r="K182" i="1" a="1"/>
  <c r="K186" i="1" a="1"/>
  <c r="K190" i="1" a="1"/>
  <c r="K194" i="1" a="1"/>
  <c r="K198" i="1" a="1"/>
  <c r="K202" i="1" a="1"/>
  <c r="K206" i="1" a="1"/>
  <c r="K210" i="1" a="1"/>
  <c r="K214" i="1" a="1"/>
  <c r="K218" i="1" a="1"/>
  <c r="K222" i="1" a="1"/>
  <c r="K226" i="1" a="1"/>
  <c r="K230" i="1" a="1"/>
  <c r="K234" i="1" a="1"/>
  <c r="K238" i="1" a="1"/>
  <c r="K242" i="1" a="1"/>
  <c r="K246" i="1" a="1"/>
  <c r="K250" i="1" a="1"/>
  <c r="K254" i="1" a="1"/>
  <c r="K258" i="1" a="1"/>
  <c r="K7" i="1" a="1"/>
  <c r="K11" i="1" a="1"/>
  <c r="K15" i="1" a="1"/>
  <c r="K19" i="1" a="1"/>
  <c r="K23" i="1" a="1"/>
  <c r="K27" i="1" a="1"/>
  <c r="K31" i="1" a="1"/>
  <c r="K35" i="1" a="1"/>
  <c r="K39" i="1" a="1"/>
  <c r="K43" i="1" a="1"/>
  <c r="K47" i="1" a="1"/>
  <c r="K51" i="1" a="1"/>
  <c r="K55" i="1" a="1"/>
  <c r="K59" i="1" a="1"/>
  <c r="K63" i="1" a="1"/>
  <c r="K67" i="1" a="1"/>
  <c r="K71" i="1" a="1"/>
  <c r="K75" i="1" a="1"/>
  <c r="K79" i="1" a="1"/>
  <c r="K83" i="1" a="1"/>
  <c r="K87" i="1" a="1"/>
  <c r="K91" i="1" a="1"/>
  <c r="K95" i="1" a="1"/>
  <c r="K99" i="1" a="1"/>
  <c r="K103" i="1" a="1"/>
  <c r="K107" i="1" a="1"/>
  <c r="K111" i="1" a="1"/>
  <c r="K115" i="1" a="1"/>
  <c r="K119" i="1" a="1"/>
  <c r="K123" i="1" a="1"/>
  <c r="K127" i="1" a="1"/>
  <c r="K131" i="1" a="1"/>
  <c r="K135" i="1" a="1"/>
  <c r="K139" i="1" a="1"/>
  <c r="K143" i="1" a="1"/>
  <c r="K147" i="1" a="1"/>
  <c r="K151" i="1" a="1"/>
  <c r="K155" i="1" a="1"/>
  <c r="K159" i="1" a="1"/>
  <c r="K163" i="1" a="1"/>
  <c r="K167" i="1" a="1"/>
  <c r="K171" i="1" a="1"/>
  <c r="K175" i="1" a="1"/>
  <c r="K179" i="1" a="1"/>
  <c r="K183" i="1" a="1"/>
  <c r="K187" i="1" a="1"/>
  <c r="K191" i="1" a="1"/>
  <c r="K195" i="1" a="1"/>
  <c r="K199" i="1" a="1"/>
  <c r="K203" i="1" a="1"/>
  <c r="K207" i="1" a="1"/>
  <c r="K211" i="1" a="1"/>
  <c r="K215" i="1" a="1"/>
  <c r="K219" i="1" a="1"/>
  <c r="K223" i="1" a="1"/>
  <c r="K227" i="1" a="1"/>
  <c r="K231" i="1" a="1"/>
  <c r="K235" i="1" a="1"/>
  <c r="K239" i="1" a="1"/>
  <c r="K243" i="1" a="1"/>
  <c r="K247" i="1" a="1"/>
  <c r="K251" i="1" a="1"/>
  <c r="K255" i="1" a="1"/>
  <c r="K259" i="1" a="1"/>
  <c r="K28" i="1" a="1"/>
  <c r="K60" i="1" a="1"/>
  <c r="K92" i="1" a="1"/>
  <c r="K124" i="1" a="1"/>
  <c r="K156" i="1" a="1"/>
  <c r="K176" i="1" a="1"/>
  <c r="K184" i="1" a="1"/>
  <c r="K192" i="1" a="1"/>
  <c r="K200" i="1" a="1"/>
  <c r="K208" i="1" a="1"/>
  <c r="K216" i="1" a="1"/>
  <c r="K224" i="1" a="1"/>
  <c r="K232" i="1" a="1"/>
  <c r="K240" i="1" a="1"/>
  <c r="K248" i="1" a="1"/>
  <c r="K256" i="1" a="1"/>
  <c r="K20" i="1" a="1"/>
  <c r="K8" i="1" a="1"/>
  <c r="K40" i="1" a="1"/>
  <c r="K72" i="1" a="1"/>
  <c r="K104" i="1" a="1"/>
  <c r="K136" i="1" a="1"/>
  <c r="K168" i="1" a="1"/>
  <c r="K52" i="1" a="1"/>
  <c r="K84" i="1" a="1"/>
  <c r="K116" i="1" a="1"/>
  <c r="K148" i="1" a="1"/>
  <c r="K32" i="1" a="1"/>
  <c r="K64" i="1" a="1"/>
  <c r="K96" i="1" a="1"/>
  <c r="K128" i="1" a="1"/>
  <c r="K160" i="1" a="1"/>
  <c r="K12" i="1" a="1"/>
  <c r="K44" i="1" a="1"/>
  <c r="K76" i="1" a="1"/>
  <c r="K108" i="1" a="1"/>
  <c r="K140" i="1" a="1"/>
  <c r="K36" i="1" a="1"/>
  <c r="K152" i="1" a="1"/>
  <c r="K68" i="1" a="1"/>
  <c r="K48" i="1" a="1"/>
  <c r="K56" i="1" a="1"/>
  <c r="K88" i="1" a="1"/>
  <c r="K144" i="1" a="1"/>
  <c r="K188" i="1" a="1"/>
  <c r="K236" i="1" a="1"/>
  <c r="K16" i="1" a="1"/>
  <c r="K100" i="1" a="1"/>
  <c r="K132" i="1" a="1"/>
  <c r="K180" i="1" a="1"/>
  <c r="K196" i="1" a="1"/>
  <c r="K212" i="1" a="1"/>
  <c r="K228" i="1" a="1"/>
  <c r="K244" i="1" a="1"/>
  <c r="K260" i="1" a="1"/>
  <c r="K24" i="1" a="1"/>
  <c r="K164" i="1" a="1"/>
  <c r="K112" i="1" a="1"/>
  <c r="K120" i="1" a="1"/>
  <c r="K172" i="1" a="1"/>
  <c r="K204" i="1" a="1"/>
  <c r="K220" i="1" a="1"/>
  <c r="K252" i="1" a="1"/>
  <c r="K80" i="1" a="1"/>
  <c r="K4" i="1" a="1"/>
  <c r="X4" i="1" a="1"/>
  <c r="X5" i="1" a="1"/>
  <c r="X9" i="1" a="1"/>
  <c r="X13" i="1" a="1"/>
  <c r="X17" i="1" a="1"/>
  <c r="X21" i="1" a="1"/>
  <c r="X25" i="1" a="1"/>
  <c r="X29" i="1" a="1"/>
  <c r="X33" i="1" a="1"/>
  <c r="X37" i="1" a="1"/>
  <c r="X41" i="1" a="1"/>
  <c r="X45" i="1" a="1"/>
  <c r="X49" i="1" a="1"/>
  <c r="X53" i="1" a="1"/>
  <c r="X57" i="1" a="1"/>
  <c r="X61" i="1" a="1"/>
  <c r="X65" i="1" a="1"/>
  <c r="X69" i="1" a="1"/>
  <c r="X73" i="1" a="1"/>
  <c r="X77" i="1" a="1"/>
  <c r="X81" i="1" a="1"/>
  <c r="X85" i="1" a="1"/>
  <c r="X89" i="1" a="1"/>
  <c r="X93" i="1" a="1"/>
  <c r="X97" i="1" a="1"/>
  <c r="X101" i="1" a="1"/>
  <c r="X105" i="1" a="1"/>
  <c r="X109" i="1" a="1"/>
  <c r="X113" i="1" a="1"/>
  <c r="X117" i="1" a="1"/>
  <c r="X121" i="1" a="1"/>
  <c r="X125" i="1" a="1"/>
  <c r="X129" i="1" a="1"/>
  <c r="X133" i="1" a="1"/>
  <c r="X137" i="1" a="1"/>
  <c r="X141" i="1" a="1"/>
  <c r="X145" i="1" a="1"/>
  <c r="X149" i="1" a="1"/>
  <c r="X153" i="1" a="1"/>
  <c r="X157" i="1" a="1"/>
  <c r="X161" i="1" a="1"/>
  <c r="X165" i="1" a="1"/>
  <c r="X169" i="1" a="1"/>
  <c r="X173" i="1" a="1"/>
  <c r="X177" i="1" a="1"/>
  <c r="X181" i="1" a="1"/>
  <c r="X185" i="1" a="1"/>
  <c r="X189" i="1" a="1"/>
  <c r="X193" i="1" a="1"/>
  <c r="X197" i="1" a="1"/>
  <c r="X201" i="1" a="1"/>
  <c r="X205" i="1" a="1"/>
  <c r="X209" i="1" a="1"/>
  <c r="X213" i="1" a="1"/>
  <c r="X217" i="1" a="1"/>
  <c r="X221" i="1" a="1"/>
  <c r="X225" i="1" a="1"/>
  <c r="X229" i="1" a="1"/>
  <c r="X233" i="1" a="1"/>
  <c r="X237" i="1" a="1"/>
  <c r="X241" i="1" a="1"/>
  <c r="X245" i="1" a="1"/>
  <c r="X249" i="1" a="1"/>
  <c r="X253" i="1" a="1"/>
  <c r="X257" i="1" a="1"/>
  <c r="X6" i="1" a="1"/>
  <c r="X11" i="1" a="1"/>
  <c r="X16" i="1" a="1"/>
  <c r="X22" i="1" a="1"/>
  <c r="X27" i="1" a="1"/>
  <c r="X32" i="1" a="1"/>
  <c r="X38" i="1" a="1"/>
  <c r="X43" i="1" a="1"/>
  <c r="X48" i="1" a="1"/>
  <c r="X54" i="1" a="1"/>
  <c r="X59" i="1" a="1"/>
  <c r="X64" i="1" a="1"/>
  <c r="X70" i="1" a="1"/>
  <c r="X75" i="1" a="1"/>
  <c r="X80" i="1" a="1"/>
  <c r="X86" i="1" a="1"/>
  <c r="X91" i="1" a="1"/>
  <c r="X96" i="1" a="1"/>
  <c r="X102" i="1" a="1"/>
  <c r="X107" i="1" a="1"/>
  <c r="X112" i="1" a="1"/>
  <c r="X118" i="1" a="1"/>
  <c r="X123" i="1" a="1"/>
  <c r="X128" i="1" a="1"/>
  <c r="X134" i="1" a="1"/>
  <c r="X139" i="1" a="1"/>
  <c r="X144" i="1" a="1"/>
  <c r="X150" i="1" a="1"/>
  <c r="X155" i="1" a="1"/>
  <c r="X160" i="1" a="1"/>
  <c r="X166" i="1" a="1"/>
  <c r="X171" i="1" a="1"/>
  <c r="X180" i="1" a="1"/>
  <c r="X194" i="1" a="1"/>
  <c r="X203" i="1" a="1"/>
  <c r="X212" i="1" a="1"/>
  <c r="X226" i="1" a="1"/>
  <c r="X235" i="1" a="1"/>
  <c r="X244" i="1" a="1"/>
  <c r="X258" i="1" a="1"/>
  <c r="X12" i="1" a="1"/>
  <c r="X151" i="1" a="1"/>
  <c r="X167" i="1" a="1"/>
  <c r="X186" i="1" a="1"/>
  <c r="X195" i="1" a="1"/>
  <c r="X204" i="1" a="1"/>
  <c r="X227" i="1" a="1"/>
  <c r="X236" i="1" a="1"/>
  <c r="X250" i="1" a="1"/>
  <c r="X259" i="1" a="1"/>
  <c r="X182" i="1" a="1"/>
  <c r="X191" i="1" a="1"/>
  <c r="X200" i="1" a="1"/>
  <c r="X214" i="1" a="1"/>
  <c r="X223" i="1" a="1"/>
  <c r="X232" i="1" a="1"/>
  <c r="X246" i="1" a="1"/>
  <c r="X255" i="1" a="1"/>
  <c r="X8" i="1" a="1"/>
  <c r="X14" i="1" a="1"/>
  <c r="X19" i="1" a="1"/>
  <c r="X24" i="1" a="1"/>
  <c r="X30" i="1" a="1"/>
  <c r="X35" i="1" a="1"/>
  <c r="X40" i="1" a="1"/>
  <c r="X46" i="1" a="1"/>
  <c r="X51" i="1" a="1"/>
  <c r="X56" i="1" a="1"/>
  <c r="X62" i="1" a="1"/>
  <c r="X67" i="1" a="1"/>
  <c r="X72" i="1" a="1"/>
  <c r="X78" i="1" a="1"/>
  <c r="X83" i="1" a="1"/>
  <c r="X88" i="1" a="1"/>
  <c r="X94" i="1" a="1"/>
  <c r="X99" i="1" a="1"/>
  <c r="X104" i="1" a="1"/>
  <c r="X110" i="1" a="1"/>
  <c r="X115" i="1" a="1"/>
  <c r="X120" i="1" a="1"/>
  <c r="X126" i="1" a="1"/>
  <c r="X131" i="1" a="1"/>
  <c r="X136" i="1" a="1"/>
  <c r="X142" i="1" a="1"/>
  <c r="X147" i="1" a="1"/>
  <c r="X152" i="1" a="1"/>
  <c r="X158" i="1" a="1"/>
  <c r="X163" i="1" a="1"/>
  <c r="X168" i="1" a="1"/>
  <c r="X178" i="1" a="1"/>
  <c r="X187" i="1" a="1"/>
  <c r="X210" i="1" a="1"/>
  <c r="X219" i="1" a="1"/>
  <c r="X228" i="1" a="1"/>
  <c r="X242" i="1" a="1"/>
  <c r="X251" i="1" a="1"/>
  <c r="X260" i="1" a="1"/>
  <c r="X174" i="1" a="1"/>
  <c r="X183" i="1" a="1"/>
  <c r="X192" i="1" a="1"/>
  <c r="X176" i="1" a="1"/>
  <c r="X190" i="1" a="1"/>
  <c r="X199" i="1" a="1"/>
  <c r="X208" i="1" a="1"/>
  <c r="X222" i="1" a="1"/>
  <c r="X231" i="1" a="1"/>
  <c r="X240" i="1" a="1"/>
  <c r="X254" i="1" a="1"/>
  <c r="X7" i="1" a="1"/>
  <c r="X18" i="1" a="1"/>
  <c r="X23" i="1" a="1"/>
  <c r="X28" i="1" a="1"/>
  <c r="X34" i="1" a="1"/>
  <c r="X39" i="1" a="1"/>
  <c r="X44" i="1" a="1"/>
  <c r="X50" i="1" a="1"/>
  <c r="X55" i="1" a="1"/>
  <c r="X60" i="1" a="1"/>
  <c r="X66" i="1" a="1"/>
  <c r="X71" i="1" a="1"/>
  <c r="X76" i="1" a="1"/>
  <c r="X82" i="1" a="1"/>
  <c r="X87" i="1" a="1"/>
  <c r="X92" i="1" a="1"/>
  <c r="X98" i="1" a="1"/>
  <c r="X103" i="1" a="1"/>
  <c r="X108" i="1" a="1"/>
  <c r="X114" i="1" a="1"/>
  <c r="X119" i="1" a="1"/>
  <c r="X124" i="1" a="1"/>
  <c r="X130" i="1" a="1"/>
  <c r="X135" i="1" a="1"/>
  <c r="X140" i="1" a="1"/>
  <c r="X146" i="1" a="1"/>
  <c r="X156" i="1" a="1"/>
  <c r="X162" i="1" a="1"/>
  <c r="X172" i="1" a="1"/>
  <c r="X218" i="1" a="1"/>
  <c r="X196" i="1" a="1"/>
  <c r="X10" i="1" a="1"/>
  <c r="X31" i="1" a="1"/>
  <c r="X52" i="1" a="1"/>
  <c r="X74" i="1" a="1"/>
  <c r="X95" i="1" a="1"/>
  <c r="X116" i="1" a="1"/>
  <c r="X138" i="1" a="1"/>
  <c r="X159" i="1" a="1"/>
  <c r="X179" i="1" a="1"/>
  <c r="X211" i="1" a="1"/>
  <c r="X224" i="1" a="1"/>
  <c r="X198" i="1" a="1"/>
  <c r="X238" i="1" a="1"/>
  <c r="X248" i="1" a="1"/>
  <c r="X15" i="1" a="1"/>
  <c r="X36" i="1" a="1"/>
  <c r="X58" i="1" a="1"/>
  <c r="X79" i="1" a="1"/>
  <c r="X100" i="1" a="1"/>
  <c r="X122" i="1" a="1"/>
  <c r="X143" i="1" a="1"/>
  <c r="X164" i="1" a="1"/>
  <c r="X202" i="1" a="1"/>
  <c r="X215" i="1" a="1"/>
  <c r="X184" i="1" a="1"/>
  <c r="X239" i="1" a="1"/>
  <c r="X252" i="1" a="1"/>
  <c r="X20" i="1" a="1"/>
  <c r="X42" i="1" a="1"/>
  <c r="X63" i="1" a="1"/>
  <c r="X84" i="1" a="1"/>
  <c r="X106" i="1" a="1"/>
  <c r="X127" i="1" a="1"/>
  <c r="X148" i="1" a="1"/>
  <c r="X170" i="1" a="1"/>
  <c r="X188" i="1" a="1"/>
  <c r="X206" i="1" a="1"/>
  <c r="X216" i="1" a="1"/>
  <c r="X230" i="1" a="1"/>
  <c r="X243" i="1" a="1"/>
  <c r="X256" i="1" a="1"/>
  <c r="X26" i="1" a="1"/>
  <c r="X47" i="1" a="1"/>
  <c r="X68" i="1" a="1"/>
  <c r="X90" i="1" a="1"/>
  <c r="X111" i="1" a="1"/>
  <c r="X132" i="1" a="1"/>
  <c r="X154" i="1" a="1"/>
  <c r="X207" i="1" a="1"/>
  <c r="X220" i="1" a="1"/>
  <c r="X175" i="1" a="1"/>
  <c r="X234" i="1" a="1"/>
  <c r="X247" i="1" a="1"/>
  <c r="W5" i="1" a="1"/>
  <c r="W9" i="1" a="1"/>
  <c r="W13" i="1" a="1"/>
  <c r="W17" i="1" a="1"/>
  <c r="W21" i="1" a="1"/>
  <c r="W25" i="1" a="1"/>
  <c r="W29" i="1" a="1"/>
  <c r="W33" i="1" a="1"/>
  <c r="W37" i="1" a="1"/>
  <c r="W41" i="1" a="1"/>
  <c r="W45" i="1" a="1"/>
  <c r="W49" i="1" a="1"/>
  <c r="W53" i="1" a="1"/>
  <c r="W57" i="1" a="1"/>
  <c r="W61" i="1" a="1"/>
  <c r="W65" i="1" a="1"/>
  <c r="W69" i="1" a="1"/>
  <c r="W73" i="1" a="1"/>
  <c r="W77" i="1" a="1"/>
  <c r="W81" i="1" a="1"/>
  <c r="W85" i="1" a="1"/>
  <c r="W89" i="1" a="1"/>
  <c r="W93" i="1" a="1"/>
  <c r="W97" i="1" a="1"/>
  <c r="W101" i="1" a="1"/>
  <c r="W105" i="1" a="1"/>
  <c r="W109" i="1" a="1"/>
  <c r="W113" i="1" a="1"/>
  <c r="W117" i="1" a="1"/>
  <c r="W121" i="1" a="1"/>
  <c r="W125" i="1" a="1"/>
  <c r="W129" i="1" a="1"/>
  <c r="W133" i="1" a="1"/>
  <c r="W137" i="1" a="1"/>
  <c r="W141" i="1" a="1"/>
  <c r="W145" i="1" a="1"/>
  <c r="W149" i="1" a="1"/>
  <c r="W153" i="1" a="1"/>
  <c r="W157" i="1" a="1"/>
  <c r="W161" i="1" a="1"/>
  <c r="W165" i="1" a="1"/>
  <c r="W169" i="1" a="1"/>
  <c r="W173" i="1" a="1"/>
  <c r="W177" i="1" a="1"/>
  <c r="W181" i="1" a="1"/>
  <c r="W185" i="1" a="1"/>
  <c r="W189" i="1" a="1"/>
  <c r="W193" i="1" a="1"/>
  <c r="W197" i="1" a="1"/>
  <c r="W201" i="1" a="1"/>
  <c r="W205" i="1" a="1"/>
  <c r="W209" i="1" a="1"/>
  <c r="W213" i="1" a="1"/>
  <c r="W217" i="1" a="1"/>
  <c r="W221" i="1" a="1"/>
  <c r="W225" i="1" a="1"/>
  <c r="W229" i="1" a="1"/>
  <c r="W233" i="1" a="1"/>
  <c r="W237" i="1" a="1"/>
  <c r="W241" i="1" a="1"/>
  <c r="W245" i="1" a="1"/>
  <c r="W249" i="1" a="1"/>
  <c r="W253" i="1" a="1"/>
  <c r="W257" i="1" a="1"/>
  <c r="W11" i="1" a="1"/>
  <c r="W23" i="1" a="1"/>
  <c r="W6" i="1" a="1"/>
  <c r="W10" i="1" a="1"/>
  <c r="W14" i="1" a="1"/>
  <c r="W18" i="1" a="1"/>
  <c r="W22" i="1" a="1"/>
  <c r="W26" i="1" a="1"/>
  <c r="W30" i="1" a="1"/>
  <c r="W34" i="1" a="1"/>
  <c r="W38" i="1" a="1"/>
  <c r="W42" i="1" a="1"/>
  <c r="W46" i="1" a="1"/>
  <c r="W50" i="1" a="1"/>
  <c r="W54" i="1" a="1"/>
  <c r="W58" i="1" a="1"/>
  <c r="W62" i="1" a="1"/>
  <c r="W66" i="1" a="1"/>
  <c r="W70" i="1" a="1"/>
  <c r="W74" i="1" a="1"/>
  <c r="W78" i="1" a="1"/>
  <c r="W82" i="1" a="1"/>
  <c r="W86" i="1" a="1"/>
  <c r="W90" i="1" a="1"/>
  <c r="W94" i="1" a="1"/>
  <c r="W98" i="1" a="1"/>
  <c r="W102" i="1" a="1"/>
  <c r="W106" i="1" a="1"/>
  <c r="W110" i="1" a="1"/>
  <c r="W114" i="1" a="1"/>
  <c r="W118" i="1" a="1"/>
  <c r="W122" i="1" a="1"/>
  <c r="W126" i="1" a="1"/>
  <c r="W130" i="1" a="1"/>
  <c r="W134" i="1" a="1"/>
  <c r="W138" i="1" a="1"/>
  <c r="W142" i="1" a="1"/>
  <c r="W146" i="1" a="1"/>
  <c r="W150" i="1" a="1"/>
  <c r="W154" i="1" a="1"/>
  <c r="W158" i="1" a="1"/>
  <c r="W162" i="1" a="1"/>
  <c r="W166" i="1" a="1"/>
  <c r="W170" i="1" a="1"/>
  <c r="W174" i="1" a="1"/>
  <c r="W178" i="1" a="1"/>
  <c r="W182" i="1" a="1"/>
  <c r="W186" i="1" a="1"/>
  <c r="W190" i="1" a="1"/>
  <c r="W194" i="1" a="1"/>
  <c r="W198" i="1" a="1"/>
  <c r="W202" i="1" a="1"/>
  <c r="W206" i="1" a="1"/>
  <c r="W210" i="1" a="1"/>
  <c r="W214" i="1" a="1"/>
  <c r="W218" i="1" a="1"/>
  <c r="W222" i="1" a="1"/>
  <c r="W226" i="1" a="1"/>
  <c r="W230" i="1" a="1"/>
  <c r="W234" i="1" a="1"/>
  <c r="W238" i="1" a="1"/>
  <c r="W242" i="1" a="1"/>
  <c r="W246" i="1" a="1"/>
  <c r="W250" i="1" a="1"/>
  <c r="W254" i="1" a="1"/>
  <c r="W258" i="1" a="1"/>
  <c r="W27" i="1" a="1"/>
  <c r="W99" i="1" a="1"/>
  <c r="W179" i="1" a="1"/>
  <c r="W199" i="1" a="1"/>
  <c r="W211" i="1" a="1"/>
  <c r="W223" i="1" a="1"/>
  <c r="W235" i="1" a="1"/>
  <c r="W247" i="1" a="1"/>
  <c r="W259" i="1" a="1"/>
  <c r="W7" i="1" a="1"/>
  <c r="W103" i="1" a="1"/>
  <c r="W123" i="1" a="1"/>
  <c r="W135" i="1" a="1"/>
  <c r="W143" i="1" a="1"/>
  <c r="W151" i="1" a="1"/>
  <c r="W163" i="1" a="1"/>
  <c r="W171" i="1" a="1"/>
  <c r="W183" i="1" a="1"/>
  <c r="W191" i="1" a="1"/>
  <c r="W207" i="1" a="1"/>
  <c r="W219" i="1" a="1"/>
  <c r="W231" i="1" a="1"/>
  <c r="W243" i="1" a="1"/>
  <c r="W255" i="1" a="1"/>
  <c r="W8" i="1" a="1"/>
  <c r="W12" i="1" a="1"/>
  <c r="W16" i="1" a="1"/>
  <c r="W20" i="1" a="1"/>
  <c r="W24" i="1" a="1"/>
  <c r="W28" i="1" a="1"/>
  <c r="W32" i="1" a="1"/>
  <c r="W36" i="1" a="1"/>
  <c r="W40" i="1" a="1"/>
  <c r="W44" i="1" a="1"/>
  <c r="W48" i="1" a="1"/>
  <c r="W52" i="1" a="1"/>
  <c r="W56" i="1" a="1"/>
  <c r="W60" i="1" a="1"/>
  <c r="W64" i="1" a="1"/>
  <c r="W68" i="1" a="1"/>
  <c r="W72" i="1" a="1"/>
  <c r="W76" i="1" a="1"/>
  <c r="W80" i="1" a="1"/>
  <c r="W84" i="1" a="1"/>
  <c r="W88" i="1" a="1"/>
  <c r="W92" i="1" a="1"/>
  <c r="W96" i="1" a="1"/>
  <c r="W100" i="1" a="1"/>
  <c r="W104" i="1" a="1"/>
  <c r="W108" i="1" a="1"/>
  <c r="W112" i="1" a="1"/>
  <c r="W116" i="1" a="1"/>
  <c r="W120" i="1" a="1"/>
  <c r="W124" i="1" a="1"/>
  <c r="W128" i="1" a="1"/>
  <c r="W132" i="1" a="1"/>
  <c r="W136" i="1" a="1"/>
  <c r="W140" i="1" a="1"/>
  <c r="W144" i="1" a="1"/>
  <c r="W148" i="1" a="1"/>
  <c r="W152" i="1" a="1"/>
  <c r="W156" i="1" a="1"/>
  <c r="W160" i="1" a="1"/>
  <c r="W164" i="1" a="1"/>
  <c r="W168" i="1" a="1"/>
  <c r="W172" i="1" a="1"/>
  <c r="W176" i="1" a="1"/>
  <c r="W180" i="1" a="1"/>
  <c r="W184" i="1" a="1"/>
  <c r="W188" i="1" a="1"/>
  <c r="W192" i="1" a="1"/>
  <c r="W196" i="1" a="1"/>
  <c r="W200" i="1" a="1"/>
  <c r="W204" i="1" a="1"/>
  <c r="W208" i="1" a="1"/>
  <c r="W212" i="1" a="1"/>
  <c r="W216" i="1" a="1"/>
  <c r="W220" i="1" a="1"/>
  <c r="W224" i="1" a="1"/>
  <c r="W228" i="1" a="1"/>
  <c r="W232" i="1" a="1"/>
  <c r="W236" i="1" a="1"/>
  <c r="W240" i="1" a="1"/>
  <c r="W244" i="1" a="1"/>
  <c r="W248" i="1" a="1"/>
  <c r="W252" i="1" a="1"/>
  <c r="W256" i="1" a="1"/>
  <c r="W260" i="1" a="1"/>
  <c r="W15" i="1" a="1"/>
  <c r="W31" i="1" a="1"/>
  <c r="W35" i="1" a="1"/>
  <c r="W39" i="1" a="1"/>
  <c r="W43" i="1" a="1"/>
  <c r="W47" i="1" a="1"/>
  <c r="W51" i="1" a="1"/>
  <c r="W55" i="1" a="1"/>
  <c r="W59" i="1" a="1"/>
  <c r="W63" i="1" a="1"/>
  <c r="W67" i="1" a="1"/>
  <c r="W71" i="1" a="1"/>
  <c r="W75" i="1" a="1"/>
  <c r="W79" i="1" a="1"/>
  <c r="W83" i="1" a="1"/>
  <c r="W87" i="1" a="1"/>
  <c r="W91" i="1" a="1"/>
  <c r="W95" i="1" a="1"/>
  <c r="W107" i="1" a="1"/>
  <c r="W111" i="1" a="1"/>
  <c r="W115" i="1" a="1"/>
  <c r="W119" i="1" a="1"/>
  <c r="W127" i="1" a="1"/>
  <c r="W131" i="1" a="1"/>
  <c r="W139" i="1" a="1"/>
  <c r="W147" i="1" a="1"/>
  <c r="W155" i="1" a="1"/>
  <c r="W159" i="1" a="1"/>
  <c r="W167" i="1" a="1"/>
  <c r="W175" i="1" a="1"/>
  <c r="W187" i="1" a="1"/>
  <c r="W195" i="1" a="1"/>
  <c r="W203" i="1" a="1"/>
  <c r="W215" i="1" a="1"/>
  <c r="W227" i="1" a="1"/>
  <c r="W239" i="1" a="1"/>
  <c r="W251" i="1" a="1"/>
  <c r="W19" i="1" a="1"/>
  <c r="W4" i="1" a="1"/>
  <c r="J4" i="1" a="1"/>
  <c r="V5" i="1" a="1"/>
  <c r="V9" i="1" a="1"/>
  <c r="V13" i="1" a="1"/>
  <c r="V17" i="1" a="1"/>
  <c r="V21" i="1" a="1"/>
  <c r="V25" i="1" a="1"/>
  <c r="V29" i="1" a="1"/>
  <c r="V33" i="1" a="1"/>
  <c r="V37" i="1" a="1"/>
  <c r="V41" i="1" a="1"/>
  <c r="V45" i="1" a="1"/>
  <c r="V49" i="1" a="1"/>
  <c r="V53" i="1" a="1"/>
  <c r="V57" i="1" a="1"/>
  <c r="V61" i="1" a="1"/>
  <c r="V65" i="1" a="1"/>
  <c r="V69" i="1" a="1"/>
  <c r="V73" i="1" a="1"/>
  <c r="V77" i="1" a="1"/>
  <c r="V81" i="1" a="1"/>
  <c r="V85" i="1" a="1"/>
  <c r="V89" i="1" a="1"/>
  <c r="V93" i="1" a="1"/>
  <c r="V97" i="1" a="1"/>
  <c r="V101" i="1" a="1"/>
  <c r="V105" i="1" a="1"/>
  <c r="V109" i="1" a="1"/>
  <c r="V113" i="1" a="1"/>
  <c r="V117" i="1" a="1"/>
  <c r="V121" i="1" a="1"/>
  <c r="V125" i="1" a="1"/>
  <c r="V129" i="1" a="1"/>
  <c r="V133" i="1" a="1"/>
  <c r="V137" i="1" a="1"/>
  <c r="V141" i="1" a="1"/>
  <c r="V145" i="1" a="1"/>
  <c r="V149" i="1" a="1"/>
  <c r="V153" i="1" a="1"/>
  <c r="V157" i="1" a="1"/>
  <c r="V161" i="1" a="1"/>
  <c r="V165" i="1" a="1"/>
  <c r="V169" i="1" a="1"/>
  <c r="V173" i="1" a="1"/>
  <c r="V177" i="1" a="1"/>
  <c r="V181" i="1" a="1"/>
  <c r="V185" i="1" a="1"/>
  <c r="V189" i="1" a="1"/>
  <c r="V193" i="1" a="1"/>
  <c r="V197" i="1" a="1"/>
  <c r="V201" i="1" a="1"/>
  <c r="V205" i="1" a="1"/>
  <c r="V209" i="1" a="1"/>
  <c r="V213" i="1" a="1"/>
  <c r="V217" i="1" a="1"/>
  <c r="V221" i="1" a="1"/>
  <c r="V225" i="1" a="1"/>
  <c r="V229" i="1" a="1"/>
  <c r="V233" i="1" a="1"/>
  <c r="V237" i="1" a="1"/>
  <c r="V241" i="1" a="1"/>
  <c r="V245" i="1" a="1"/>
  <c r="V249" i="1" a="1"/>
  <c r="V253" i="1" a="1"/>
  <c r="V257" i="1" a="1"/>
  <c r="V140" i="1" a="1"/>
  <c r="V24" i="1" a="1"/>
  <c r="V6" i="1" a="1"/>
  <c r="V10" i="1" a="1"/>
  <c r="V14" i="1" a="1"/>
  <c r="V18" i="1" a="1"/>
  <c r="V22" i="1" a="1"/>
  <c r="V26" i="1" a="1"/>
  <c r="V30" i="1" a="1"/>
  <c r="V34" i="1" a="1"/>
  <c r="V38" i="1" a="1"/>
  <c r="V42" i="1" a="1"/>
  <c r="V46" i="1" a="1"/>
  <c r="V50" i="1" a="1"/>
  <c r="V54" i="1" a="1"/>
  <c r="V58" i="1" a="1"/>
  <c r="V62" i="1" a="1"/>
  <c r="V66" i="1" a="1"/>
  <c r="V70" i="1" a="1"/>
  <c r="V74" i="1" a="1"/>
  <c r="V78" i="1" a="1"/>
  <c r="V82" i="1" a="1"/>
  <c r="V86" i="1" a="1"/>
  <c r="V90" i="1" a="1"/>
  <c r="V94" i="1" a="1"/>
  <c r="V98" i="1" a="1"/>
  <c r="V102" i="1" a="1"/>
  <c r="V106" i="1" a="1"/>
  <c r="V110" i="1" a="1"/>
  <c r="V114" i="1" a="1"/>
  <c r="V118" i="1" a="1"/>
  <c r="V122" i="1" a="1"/>
  <c r="V126" i="1" a="1"/>
  <c r="V130" i="1" a="1"/>
  <c r="V134" i="1" a="1"/>
  <c r="V138" i="1" a="1"/>
  <c r="V142" i="1" a="1"/>
  <c r="V146" i="1" a="1"/>
  <c r="V150" i="1" a="1"/>
  <c r="V154" i="1" a="1"/>
  <c r="V158" i="1" a="1"/>
  <c r="V162" i="1" a="1"/>
  <c r="V166" i="1" a="1"/>
  <c r="V170" i="1" a="1"/>
  <c r="V174" i="1" a="1"/>
  <c r="V178" i="1" a="1"/>
  <c r="V182" i="1" a="1"/>
  <c r="V186" i="1" a="1"/>
  <c r="V190" i="1" a="1"/>
  <c r="V194" i="1" a="1"/>
  <c r="V198" i="1" a="1"/>
  <c r="V202" i="1" a="1"/>
  <c r="V206" i="1" a="1"/>
  <c r="V210" i="1" a="1"/>
  <c r="V214" i="1" a="1"/>
  <c r="V218" i="1" a="1"/>
  <c r="V222" i="1" a="1"/>
  <c r="V226" i="1" a="1"/>
  <c r="V230" i="1" a="1"/>
  <c r="V234" i="1" a="1"/>
  <c r="V238" i="1" a="1"/>
  <c r="V242" i="1" a="1"/>
  <c r="V246" i="1" a="1"/>
  <c r="V250" i="1" a="1"/>
  <c r="V254" i="1" a="1"/>
  <c r="V258" i="1" a="1"/>
  <c r="V12" i="1" a="1"/>
  <c r="V28" i="1" a="1"/>
  <c r="V32" i="1" a="1"/>
  <c r="V36" i="1" a="1"/>
  <c r="V40" i="1" a="1"/>
  <c r="V44" i="1" a="1"/>
  <c r="V48" i="1" a="1"/>
  <c r="V52" i="1" a="1"/>
  <c r="V56" i="1" a="1"/>
  <c r="V60" i="1" a="1"/>
  <c r="V64" i="1" a="1"/>
  <c r="V68" i="1" a="1"/>
  <c r="V72" i="1" a="1"/>
  <c r="V76" i="1" a="1"/>
  <c r="V80" i="1" a="1"/>
  <c r="V84" i="1" a="1"/>
  <c r="V88" i="1" a="1"/>
  <c r="V92" i="1" a="1"/>
  <c r="V96" i="1" a="1"/>
  <c r="V100" i="1" a="1"/>
  <c r="V104" i="1" a="1"/>
  <c r="V108" i="1" a="1"/>
  <c r="V112" i="1" a="1"/>
  <c r="V116" i="1" a="1"/>
  <c r="V120" i="1" a="1"/>
  <c r="V124" i="1" a="1"/>
  <c r="V128" i="1" a="1"/>
  <c r="V132" i="1" a="1"/>
  <c r="V136" i="1" a="1"/>
  <c r="V144" i="1" a="1"/>
  <c r="V148" i="1" a="1"/>
  <c r="V152" i="1" a="1"/>
  <c r="V156" i="1" a="1"/>
  <c r="V160" i="1" a="1"/>
  <c r="V164" i="1" a="1"/>
  <c r="V168" i="1" a="1"/>
  <c r="V172" i="1" a="1"/>
  <c r="V176" i="1" a="1"/>
  <c r="V180" i="1" a="1"/>
  <c r="V188" i="1" a="1"/>
  <c r="V192" i="1" a="1"/>
  <c r="V196" i="1" a="1"/>
  <c r="V200" i="1" a="1"/>
  <c r="V204" i="1" a="1"/>
  <c r="V212" i="1" a="1"/>
  <c r="V220" i="1" a="1"/>
  <c r="V228" i="1" a="1"/>
  <c r="V236" i="1" a="1"/>
  <c r="V244" i="1" a="1"/>
  <c r="V252" i="1" a="1"/>
  <c r="V260" i="1" a="1"/>
  <c r="V16" i="1" a="1"/>
  <c r="V7" i="1" a="1"/>
  <c r="V11" i="1" a="1"/>
  <c r="V15" i="1" a="1"/>
  <c r="V19" i="1" a="1"/>
  <c r="V23" i="1" a="1"/>
  <c r="V27" i="1" a="1"/>
  <c r="V31" i="1" a="1"/>
  <c r="V35" i="1" a="1"/>
  <c r="V39" i="1" a="1"/>
  <c r="V43" i="1" a="1"/>
  <c r="V47" i="1" a="1"/>
  <c r="V51" i="1" a="1"/>
  <c r="V55" i="1" a="1"/>
  <c r="V59" i="1" a="1"/>
  <c r="V63" i="1" a="1"/>
  <c r="V67" i="1" a="1"/>
  <c r="V71" i="1" a="1"/>
  <c r="V75" i="1" a="1"/>
  <c r="V79" i="1" a="1"/>
  <c r="V83" i="1" a="1"/>
  <c r="V87" i="1" a="1"/>
  <c r="V91" i="1" a="1"/>
  <c r="V95" i="1" a="1"/>
  <c r="V99" i="1" a="1"/>
  <c r="V103" i="1" a="1"/>
  <c r="V107" i="1" a="1"/>
  <c r="V111" i="1" a="1"/>
  <c r="V115" i="1" a="1"/>
  <c r="V119" i="1" a="1"/>
  <c r="V123" i="1" a="1"/>
  <c r="V127" i="1" a="1"/>
  <c r="V131" i="1" a="1"/>
  <c r="V135" i="1" a="1"/>
  <c r="V139" i="1" a="1"/>
  <c r="V143" i="1" a="1"/>
  <c r="V147" i="1" a="1"/>
  <c r="V151" i="1" a="1"/>
  <c r="V155" i="1" a="1"/>
  <c r="V159" i="1" a="1"/>
  <c r="V163" i="1" a="1"/>
  <c r="V167" i="1" a="1"/>
  <c r="V171" i="1" a="1"/>
  <c r="V175" i="1" a="1"/>
  <c r="V179" i="1" a="1"/>
  <c r="V183" i="1" a="1"/>
  <c r="V187" i="1" a="1"/>
  <c r="V191" i="1" a="1"/>
  <c r="V195" i="1" a="1"/>
  <c r="V199" i="1" a="1"/>
  <c r="V203" i="1" a="1"/>
  <c r="V207" i="1" a="1"/>
  <c r="V211" i="1" a="1"/>
  <c r="V215" i="1" a="1"/>
  <c r="V219" i="1" a="1"/>
  <c r="V223" i="1" a="1"/>
  <c r="V227" i="1" a="1"/>
  <c r="V231" i="1" a="1"/>
  <c r="V235" i="1" a="1"/>
  <c r="V239" i="1" a="1"/>
  <c r="V243" i="1" a="1"/>
  <c r="V247" i="1" a="1"/>
  <c r="V251" i="1" a="1"/>
  <c r="V255" i="1" a="1"/>
  <c r="V259" i="1" a="1"/>
  <c r="V20" i="1" a="1"/>
  <c r="V184" i="1" a="1"/>
  <c r="V208" i="1" a="1"/>
  <c r="V216" i="1" a="1"/>
  <c r="V224" i="1" a="1"/>
  <c r="V232" i="1" a="1"/>
  <c r="V240" i="1" a="1"/>
  <c r="V248" i="1" a="1"/>
  <c r="V256" i="1" a="1"/>
  <c r="V8" i="1" a="1"/>
  <c r="V4" i="1" a="1"/>
  <c r="J5" i="1" a="1"/>
  <c r="J9" i="1" a="1"/>
  <c r="J13" i="1" a="1"/>
  <c r="J17" i="1" a="1"/>
  <c r="J21" i="1" a="1"/>
  <c r="J25" i="1" a="1"/>
  <c r="J29" i="1" a="1"/>
  <c r="J33" i="1" a="1"/>
  <c r="J37" i="1" a="1"/>
  <c r="J41" i="1" a="1"/>
  <c r="J45" i="1" a="1"/>
  <c r="J49" i="1" a="1"/>
  <c r="J53" i="1" a="1"/>
  <c r="J57" i="1" a="1"/>
  <c r="J61" i="1" a="1"/>
  <c r="J65" i="1" a="1"/>
  <c r="J69" i="1" a="1"/>
  <c r="J73" i="1" a="1"/>
  <c r="J77" i="1" a="1"/>
  <c r="J81" i="1" a="1"/>
  <c r="J85" i="1" a="1"/>
  <c r="J89" i="1" a="1"/>
  <c r="J93" i="1" a="1"/>
  <c r="J97" i="1" a="1"/>
  <c r="J101" i="1" a="1"/>
  <c r="J105" i="1" a="1"/>
  <c r="J109" i="1" a="1"/>
  <c r="J113" i="1" a="1"/>
  <c r="J117" i="1" a="1"/>
  <c r="J121" i="1" a="1"/>
  <c r="J125" i="1" a="1"/>
  <c r="J129" i="1" a="1"/>
  <c r="J133" i="1" a="1"/>
  <c r="J137" i="1" a="1"/>
  <c r="J141" i="1" a="1"/>
  <c r="J145" i="1" a="1"/>
  <c r="J149" i="1" a="1"/>
  <c r="J153" i="1" a="1"/>
  <c r="J157" i="1" a="1"/>
  <c r="J161" i="1" a="1"/>
  <c r="J165" i="1" a="1"/>
  <c r="J169" i="1" a="1"/>
  <c r="J173" i="1" a="1"/>
  <c r="J177" i="1" a="1"/>
  <c r="J181" i="1" a="1"/>
  <c r="J185" i="1" a="1"/>
  <c r="J189" i="1" a="1"/>
  <c r="J193" i="1" a="1"/>
  <c r="J197" i="1" a="1"/>
  <c r="J201" i="1" a="1"/>
  <c r="J205" i="1" a="1"/>
  <c r="J209" i="1" a="1"/>
  <c r="J213" i="1" a="1"/>
  <c r="J217" i="1" a="1"/>
  <c r="J221" i="1" a="1"/>
  <c r="J225" i="1" a="1"/>
  <c r="J229" i="1" a="1"/>
  <c r="J233" i="1" a="1"/>
  <c r="J237" i="1" a="1"/>
  <c r="J241" i="1" a="1"/>
  <c r="J245" i="1" a="1"/>
  <c r="J249" i="1" a="1"/>
  <c r="J253" i="1" a="1"/>
  <c r="J257" i="1" a="1"/>
  <c r="J6" i="1" a="1"/>
  <c r="J10" i="1" a="1"/>
  <c r="J14" i="1" a="1"/>
  <c r="J18" i="1" a="1"/>
  <c r="J22" i="1" a="1"/>
  <c r="J26" i="1" a="1"/>
  <c r="J30" i="1" a="1"/>
  <c r="J34" i="1" a="1"/>
  <c r="J38" i="1" a="1"/>
  <c r="J42" i="1" a="1"/>
  <c r="J46" i="1" a="1"/>
  <c r="J50" i="1" a="1"/>
  <c r="J54" i="1" a="1"/>
  <c r="J58" i="1" a="1"/>
  <c r="J62" i="1" a="1"/>
  <c r="J66" i="1" a="1"/>
  <c r="J70" i="1" a="1"/>
  <c r="J74" i="1" a="1"/>
  <c r="J78" i="1" a="1"/>
  <c r="J82" i="1" a="1"/>
  <c r="J86" i="1" a="1"/>
  <c r="J90" i="1" a="1"/>
  <c r="J94" i="1" a="1"/>
  <c r="J98" i="1" a="1"/>
  <c r="J102" i="1" a="1"/>
  <c r="J106" i="1" a="1"/>
  <c r="J110" i="1" a="1"/>
  <c r="J114" i="1" a="1"/>
  <c r="J118" i="1" a="1"/>
  <c r="J122" i="1" a="1"/>
  <c r="J126" i="1" a="1"/>
  <c r="J130" i="1" a="1"/>
  <c r="J134" i="1" a="1"/>
  <c r="J138" i="1" a="1"/>
  <c r="J142" i="1" a="1"/>
  <c r="J146" i="1" a="1"/>
  <c r="J150" i="1" a="1"/>
  <c r="J154" i="1" a="1"/>
  <c r="J158" i="1" a="1"/>
  <c r="J162" i="1" a="1"/>
  <c r="J166" i="1" a="1"/>
  <c r="J170" i="1" a="1"/>
  <c r="J174" i="1" a="1"/>
  <c r="J178" i="1" a="1"/>
  <c r="J182" i="1" a="1"/>
  <c r="J186" i="1" a="1"/>
  <c r="J190" i="1" a="1"/>
  <c r="J194" i="1" a="1"/>
  <c r="J198" i="1" a="1"/>
  <c r="J202" i="1" a="1"/>
  <c r="J206" i="1" a="1"/>
  <c r="J210" i="1" a="1"/>
  <c r="J214" i="1" a="1"/>
  <c r="J218" i="1" a="1"/>
  <c r="J222" i="1" a="1"/>
  <c r="J226" i="1" a="1"/>
  <c r="J230" i="1" a="1"/>
  <c r="J234" i="1" a="1"/>
  <c r="J238" i="1" a="1"/>
  <c r="J242" i="1" a="1"/>
  <c r="J246" i="1" a="1"/>
  <c r="J250" i="1" a="1"/>
  <c r="J254" i="1" a="1"/>
  <c r="J258" i="1" a="1"/>
  <c r="J7" i="1" a="1"/>
  <c r="J11" i="1" a="1"/>
  <c r="J15" i="1" a="1"/>
  <c r="J19" i="1" a="1"/>
  <c r="J23" i="1" a="1"/>
  <c r="J27" i="1" a="1"/>
  <c r="J31" i="1" a="1"/>
  <c r="J35" i="1" a="1"/>
  <c r="J39" i="1" a="1"/>
  <c r="J43" i="1" a="1"/>
  <c r="J47" i="1" a="1"/>
  <c r="J51" i="1" a="1"/>
  <c r="J55" i="1" a="1"/>
  <c r="J59" i="1" a="1"/>
  <c r="J63" i="1" a="1"/>
  <c r="J67" i="1" a="1"/>
  <c r="J71" i="1" a="1"/>
  <c r="J75" i="1" a="1"/>
  <c r="J79" i="1" a="1"/>
  <c r="J83" i="1" a="1"/>
  <c r="J87" i="1" a="1"/>
  <c r="J91" i="1" a="1"/>
  <c r="J95" i="1" a="1"/>
  <c r="J99" i="1" a="1"/>
  <c r="J103" i="1" a="1"/>
  <c r="J107" i="1" a="1"/>
  <c r="J111" i="1" a="1"/>
  <c r="J115" i="1" a="1"/>
  <c r="J119" i="1" a="1"/>
  <c r="J123" i="1" a="1"/>
  <c r="J127" i="1" a="1"/>
  <c r="J131" i="1" a="1"/>
  <c r="J135" i="1" a="1"/>
  <c r="J139" i="1" a="1"/>
  <c r="J143" i="1" a="1"/>
  <c r="J147" i="1" a="1"/>
  <c r="J151" i="1" a="1"/>
  <c r="J155" i="1" a="1"/>
  <c r="J159" i="1" a="1"/>
  <c r="J163" i="1" a="1"/>
  <c r="J167" i="1" a="1"/>
  <c r="J171" i="1" a="1"/>
  <c r="J175" i="1" a="1"/>
  <c r="J179" i="1" a="1"/>
  <c r="J183" i="1" a="1"/>
  <c r="J187" i="1" a="1"/>
  <c r="J191" i="1" a="1"/>
  <c r="J195" i="1" a="1"/>
  <c r="J199" i="1" a="1"/>
  <c r="J203" i="1" a="1"/>
  <c r="J207" i="1" a="1"/>
  <c r="J211" i="1" a="1"/>
  <c r="J215" i="1" a="1"/>
  <c r="J219" i="1" a="1"/>
  <c r="J223" i="1" a="1"/>
  <c r="J227" i="1" a="1"/>
  <c r="J231" i="1" a="1"/>
  <c r="J235" i="1" a="1"/>
  <c r="J239" i="1" a="1"/>
  <c r="J243" i="1" a="1"/>
  <c r="J247" i="1" a="1"/>
  <c r="J251" i="1" a="1"/>
  <c r="J255" i="1" a="1"/>
  <c r="J259" i="1" a="1"/>
  <c r="J8" i="1" a="1"/>
  <c r="J12" i="1" a="1"/>
  <c r="J16" i="1" a="1"/>
  <c r="J20" i="1" a="1"/>
  <c r="J24" i="1" a="1"/>
  <c r="J28" i="1" a="1"/>
  <c r="J32" i="1" a="1"/>
  <c r="J36" i="1" a="1"/>
  <c r="J40" i="1" a="1"/>
  <c r="J44" i="1" a="1"/>
  <c r="J48" i="1" a="1"/>
  <c r="J52" i="1" a="1"/>
  <c r="J56" i="1" a="1"/>
  <c r="J60" i="1" a="1"/>
  <c r="J64" i="1" a="1"/>
  <c r="J68" i="1" a="1"/>
  <c r="J72" i="1" a="1"/>
  <c r="J76" i="1" a="1"/>
  <c r="J80" i="1" a="1"/>
  <c r="J84" i="1" a="1"/>
  <c r="J88" i="1" a="1"/>
  <c r="J92" i="1" a="1"/>
  <c r="J96" i="1" a="1"/>
  <c r="J100" i="1" a="1"/>
  <c r="J104" i="1" a="1"/>
  <c r="J108" i="1" a="1"/>
  <c r="J112" i="1" a="1"/>
  <c r="J116" i="1" a="1"/>
  <c r="J120" i="1" a="1"/>
  <c r="J124" i="1" a="1"/>
  <c r="J128" i="1" a="1"/>
  <c r="J132" i="1" a="1"/>
  <c r="J136" i="1" a="1"/>
  <c r="J140" i="1" a="1"/>
  <c r="J144" i="1" a="1"/>
  <c r="J148" i="1" a="1"/>
  <c r="J152" i="1" a="1"/>
  <c r="J156" i="1" a="1"/>
  <c r="J160" i="1" a="1"/>
  <c r="J164" i="1" a="1"/>
  <c r="J168" i="1" a="1"/>
  <c r="J172" i="1" a="1"/>
  <c r="J176" i="1" a="1"/>
  <c r="J180" i="1" a="1"/>
  <c r="J184" i="1" a="1"/>
  <c r="J188" i="1" a="1"/>
  <c r="J192" i="1" a="1"/>
  <c r="J196" i="1" a="1"/>
  <c r="J200" i="1" a="1"/>
  <c r="J204" i="1" a="1"/>
  <c r="J208" i="1" a="1"/>
  <c r="J212" i="1" a="1"/>
  <c r="J216" i="1" a="1"/>
  <c r="J220" i="1" a="1"/>
  <c r="J224" i="1" a="1"/>
  <c r="J228" i="1" a="1"/>
  <c r="J232" i="1" a="1"/>
  <c r="J236" i="1" a="1"/>
  <c r="J240" i="1" a="1"/>
  <c r="J244" i="1" a="1"/>
  <c r="J248" i="1" a="1"/>
  <c r="J252" i="1" a="1"/>
  <c r="J256" i="1" a="1"/>
  <c r="J260" i="1" a="1"/>
  <c r="I5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5" i="1" a="1"/>
  <c r="I109" i="1" a="1"/>
  <c r="I113" i="1" a="1"/>
  <c r="I117" i="1" a="1"/>
  <c r="I121" i="1" a="1"/>
  <c r="I125" i="1" a="1"/>
  <c r="I129" i="1" a="1"/>
  <c r="I133" i="1" a="1"/>
  <c r="I137" i="1" a="1"/>
  <c r="I141" i="1" a="1"/>
  <c r="I145" i="1" a="1"/>
  <c r="I149" i="1" a="1"/>
  <c r="I153" i="1" a="1"/>
  <c r="I157" i="1" a="1"/>
  <c r="I161" i="1" a="1"/>
  <c r="I165" i="1" a="1"/>
  <c r="I169" i="1" a="1"/>
  <c r="I173" i="1" a="1"/>
  <c r="I177" i="1" a="1"/>
  <c r="I181" i="1" a="1"/>
  <c r="I185" i="1" a="1"/>
  <c r="I189" i="1" a="1"/>
  <c r="I193" i="1" a="1"/>
  <c r="I197" i="1" a="1"/>
  <c r="I201" i="1" a="1"/>
  <c r="I205" i="1" a="1"/>
  <c r="I209" i="1" a="1"/>
  <c r="I213" i="1" a="1"/>
  <c r="I217" i="1" a="1"/>
  <c r="I221" i="1" a="1"/>
  <c r="I225" i="1" a="1"/>
  <c r="I229" i="1" a="1"/>
  <c r="I233" i="1" a="1"/>
  <c r="I237" i="1" a="1"/>
  <c r="I241" i="1" a="1"/>
  <c r="I245" i="1" a="1"/>
  <c r="I249" i="1" a="1"/>
  <c r="I253" i="1" a="1"/>
  <c r="I257" i="1" a="1"/>
  <c r="I6" i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4" i="1" a="1"/>
  <c r="I78" i="1" a="1"/>
  <c r="I82" i="1" a="1"/>
  <c r="I86" i="1" a="1"/>
  <c r="I90" i="1" a="1"/>
  <c r="I94" i="1" a="1"/>
  <c r="I98" i="1" a="1"/>
  <c r="I102" i="1" a="1"/>
  <c r="I106" i="1" a="1"/>
  <c r="I110" i="1" a="1"/>
  <c r="I114" i="1" a="1"/>
  <c r="I118" i="1" a="1"/>
  <c r="I122" i="1" a="1"/>
  <c r="I126" i="1" a="1"/>
  <c r="I130" i="1" a="1"/>
  <c r="I134" i="1" a="1"/>
  <c r="I138" i="1" a="1"/>
  <c r="I142" i="1" a="1"/>
  <c r="I146" i="1" a="1"/>
  <c r="I150" i="1" a="1"/>
  <c r="I154" i="1" a="1"/>
  <c r="I158" i="1" a="1"/>
  <c r="I162" i="1" a="1"/>
  <c r="I166" i="1" a="1"/>
  <c r="I170" i="1" a="1"/>
  <c r="I174" i="1" a="1"/>
  <c r="I178" i="1" a="1"/>
  <c r="I182" i="1" a="1"/>
  <c r="I186" i="1" a="1"/>
  <c r="I190" i="1" a="1"/>
  <c r="I194" i="1" a="1"/>
  <c r="I198" i="1" a="1"/>
  <c r="I202" i="1" a="1"/>
  <c r="I206" i="1" a="1"/>
  <c r="I210" i="1" a="1"/>
  <c r="I214" i="1" a="1"/>
  <c r="I218" i="1" a="1"/>
  <c r="I222" i="1" a="1"/>
  <c r="I226" i="1" a="1"/>
  <c r="I230" i="1" a="1"/>
  <c r="I234" i="1" a="1"/>
  <c r="I238" i="1" a="1"/>
  <c r="I242" i="1" a="1"/>
  <c r="I246" i="1" a="1"/>
  <c r="I250" i="1" a="1"/>
  <c r="I254" i="1" a="1"/>
  <c r="I258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7" i="1" a="1"/>
  <c r="I91" i="1" a="1"/>
  <c r="I95" i="1" a="1"/>
  <c r="I99" i="1" a="1"/>
  <c r="I103" i="1" a="1"/>
  <c r="I107" i="1" a="1"/>
  <c r="I111" i="1" a="1"/>
  <c r="I115" i="1" a="1"/>
  <c r="I119" i="1" a="1"/>
  <c r="I123" i="1" a="1"/>
  <c r="I127" i="1" a="1"/>
  <c r="I131" i="1" a="1"/>
  <c r="I135" i="1" a="1"/>
  <c r="I139" i="1" a="1"/>
  <c r="I143" i="1" a="1"/>
  <c r="I147" i="1" a="1"/>
  <c r="I151" i="1" a="1"/>
  <c r="I155" i="1" a="1"/>
  <c r="I159" i="1" a="1"/>
  <c r="I163" i="1" a="1"/>
  <c r="I167" i="1" a="1"/>
  <c r="I171" i="1" a="1"/>
  <c r="I175" i="1" a="1"/>
  <c r="I179" i="1" a="1"/>
  <c r="I183" i="1" a="1"/>
  <c r="I187" i="1" a="1"/>
  <c r="I191" i="1" a="1"/>
  <c r="I195" i="1" a="1"/>
  <c r="I199" i="1" a="1"/>
  <c r="I203" i="1" a="1"/>
  <c r="I207" i="1" a="1"/>
  <c r="I211" i="1" a="1"/>
  <c r="I215" i="1" a="1"/>
  <c r="I219" i="1" a="1"/>
  <c r="I223" i="1" a="1"/>
  <c r="I227" i="1" a="1"/>
  <c r="I231" i="1" a="1"/>
  <c r="I235" i="1" a="1"/>
  <c r="I239" i="1" a="1"/>
  <c r="I243" i="1" a="1"/>
  <c r="I247" i="1" a="1"/>
  <c r="I251" i="1" a="1"/>
  <c r="I255" i="1" a="1"/>
  <c r="I259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68" i="1" a="1"/>
  <c r="I72" i="1" a="1"/>
  <c r="I76" i="1" a="1"/>
  <c r="I80" i="1" a="1"/>
  <c r="I84" i="1" a="1"/>
  <c r="I88" i="1" a="1"/>
  <c r="I92" i="1" a="1"/>
  <c r="I96" i="1" a="1"/>
  <c r="I100" i="1" a="1"/>
  <c r="I104" i="1" a="1"/>
  <c r="I108" i="1" a="1"/>
  <c r="I112" i="1" a="1"/>
  <c r="I116" i="1" a="1"/>
  <c r="I120" i="1" a="1"/>
  <c r="I124" i="1" a="1"/>
  <c r="I128" i="1" a="1"/>
  <c r="I132" i="1" a="1"/>
  <c r="I136" i="1" a="1"/>
  <c r="I140" i="1" a="1"/>
  <c r="I144" i="1" a="1"/>
  <c r="I148" i="1" a="1"/>
  <c r="I152" i="1" a="1"/>
  <c r="I156" i="1" a="1"/>
  <c r="I160" i="1" a="1"/>
  <c r="I164" i="1" a="1"/>
  <c r="I168" i="1" a="1"/>
  <c r="I172" i="1" a="1"/>
  <c r="I176" i="1" a="1"/>
  <c r="I180" i="1" a="1"/>
  <c r="I184" i="1" a="1"/>
  <c r="I188" i="1" a="1"/>
  <c r="I192" i="1" a="1"/>
  <c r="I196" i="1" a="1"/>
  <c r="I200" i="1" a="1"/>
  <c r="I204" i="1" a="1"/>
  <c r="I208" i="1" a="1"/>
  <c r="I212" i="1" a="1"/>
  <c r="I216" i="1" a="1"/>
  <c r="I220" i="1" a="1"/>
  <c r="I224" i="1" a="1"/>
  <c r="I228" i="1" a="1"/>
  <c r="I232" i="1" a="1"/>
  <c r="I236" i="1" a="1"/>
  <c r="I240" i="1" a="1"/>
  <c r="I244" i="1" a="1"/>
  <c r="I248" i="1" a="1"/>
  <c r="I252" i="1" a="1"/>
  <c r="I256" i="1" a="1"/>
  <c r="I260" i="1" a="1"/>
  <c r="I4" i="1" a="1"/>
  <c r="K80" i="1" l="1"/>
  <c r="K252" i="1"/>
  <c r="K220" i="1"/>
  <c r="K204" i="1"/>
  <c r="K172" i="1"/>
  <c r="K120" i="1"/>
  <c r="K112" i="1"/>
  <c r="K164" i="1"/>
  <c r="K24" i="1"/>
  <c r="K260" i="1"/>
  <c r="K244" i="1"/>
  <c r="K228" i="1"/>
  <c r="K212" i="1"/>
  <c r="K196" i="1"/>
  <c r="K180" i="1"/>
  <c r="K132" i="1"/>
  <c r="K100" i="1"/>
  <c r="K16" i="1"/>
  <c r="K236" i="1"/>
  <c r="K188" i="1"/>
  <c r="K144" i="1"/>
  <c r="K88" i="1"/>
  <c r="K56" i="1"/>
  <c r="K48" i="1"/>
  <c r="K68" i="1"/>
  <c r="K152" i="1"/>
  <c r="K36" i="1"/>
  <c r="K140" i="1"/>
  <c r="K108" i="1"/>
  <c r="K76" i="1"/>
  <c r="K44" i="1"/>
  <c r="K12" i="1"/>
  <c r="K160" i="1"/>
  <c r="K128" i="1"/>
  <c r="K96" i="1"/>
  <c r="K64" i="1"/>
  <c r="K32" i="1"/>
  <c r="K148" i="1"/>
  <c r="K116" i="1"/>
  <c r="K84" i="1"/>
  <c r="K52" i="1"/>
  <c r="K168" i="1"/>
  <c r="K136" i="1"/>
  <c r="K104" i="1"/>
  <c r="K72" i="1"/>
  <c r="K40" i="1"/>
  <c r="K8" i="1"/>
  <c r="K20" i="1"/>
  <c r="K256" i="1"/>
  <c r="K248" i="1"/>
  <c r="K240" i="1"/>
  <c r="K232" i="1"/>
  <c r="K224" i="1"/>
  <c r="K216" i="1"/>
  <c r="K208" i="1"/>
  <c r="K200" i="1"/>
  <c r="K192" i="1"/>
  <c r="K184" i="1"/>
  <c r="K176" i="1"/>
  <c r="K156" i="1"/>
  <c r="K124" i="1"/>
  <c r="K92" i="1"/>
  <c r="K60" i="1"/>
  <c r="K28" i="1"/>
  <c r="K259" i="1"/>
  <c r="K255" i="1"/>
  <c r="K251" i="1"/>
  <c r="K247" i="1"/>
  <c r="K243" i="1"/>
  <c r="K239" i="1"/>
  <c r="K235" i="1"/>
  <c r="K231" i="1"/>
  <c r="K227" i="1"/>
  <c r="K223" i="1"/>
  <c r="K219" i="1"/>
  <c r="K215" i="1"/>
  <c r="K211" i="1"/>
  <c r="K207" i="1"/>
  <c r="K203" i="1"/>
  <c r="K199" i="1"/>
  <c r="K195" i="1"/>
  <c r="K191" i="1"/>
  <c r="K187" i="1"/>
  <c r="K183" i="1"/>
  <c r="K179" i="1"/>
  <c r="K175" i="1"/>
  <c r="K171" i="1"/>
  <c r="K167" i="1"/>
  <c r="K163" i="1"/>
  <c r="K159" i="1"/>
  <c r="K155" i="1"/>
  <c r="K151" i="1"/>
  <c r="K147" i="1"/>
  <c r="K143" i="1"/>
  <c r="K139" i="1"/>
  <c r="K135" i="1"/>
  <c r="K131" i="1"/>
  <c r="K127" i="1"/>
  <c r="K123" i="1"/>
  <c r="K119" i="1"/>
  <c r="K115" i="1"/>
  <c r="K111" i="1"/>
  <c r="K107" i="1"/>
  <c r="K103" i="1"/>
  <c r="K99" i="1"/>
  <c r="K95" i="1"/>
  <c r="K91" i="1"/>
  <c r="K87" i="1"/>
  <c r="K83" i="1"/>
  <c r="K79" i="1"/>
  <c r="K75" i="1"/>
  <c r="K71" i="1"/>
  <c r="K67" i="1"/>
  <c r="K63" i="1"/>
  <c r="K59" i="1"/>
  <c r="K55" i="1"/>
  <c r="K51" i="1"/>
  <c r="K47" i="1"/>
  <c r="K43" i="1"/>
  <c r="K39" i="1"/>
  <c r="K35" i="1"/>
  <c r="K31" i="1"/>
  <c r="K27" i="1"/>
  <c r="K23" i="1"/>
  <c r="K19" i="1"/>
  <c r="K15" i="1"/>
  <c r="K11" i="1"/>
  <c r="K7" i="1"/>
  <c r="K258" i="1"/>
  <c r="K254" i="1"/>
  <c r="K250" i="1"/>
  <c r="K246" i="1"/>
  <c r="K242" i="1"/>
  <c r="K238" i="1"/>
  <c r="K234" i="1"/>
  <c r="K230" i="1"/>
  <c r="K226" i="1"/>
  <c r="K222" i="1"/>
  <c r="K218" i="1"/>
  <c r="K214" i="1"/>
  <c r="K210" i="1"/>
  <c r="K206" i="1"/>
  <c r="K202" i="1"/>
  <c r="K198" i="1"/>
  <c r="K194" i="1"/>
  <c r="K190" i="1"/>
  <c r="K186" i="1"/>
  <c r="K182" i="1"/>
  <c r="K178" i="1"/>
  <c r="K174" i="1"/>
  <c r="K170" i="1"/>
  <c r="K166" i="1"/>
  <c r="K162" i="1"/>
  <c r="K158" i="1"/>
  <c r="K154" i="1"/>
  <c r="K150" i="1"/>
  <c r="K146" i="1"/>
  <c r="K142" i="1"/>
  <c r="K138" i="1"/>
  <c r="K134" i="1"/>
  <c r="K130" i="1"/>
  <c r="K126" i="1"/>
  <c r="K122" i="1"/>
  <c r="K118" i="1"/>
  <c r="K114" i="1"/>
  <c r="K110" i="1"/>
  <c r="K106" i="1"/>
  <c r="K102" i="1"/>
  <c r="K98" i="1"/>
  <c r="K94" i="1"/>
  <c r="K90" i="1"/>
  <c r="K86" i="1"/>
  <c r="K82" i="1"/>
  <c r="K78" i="1"/>
  <c r="K74" i="1"/>
  <c r="K70" i="1"/>
  <c r="K66" i="1"/>
  <c r="K62" i="1"/>
  <c r="K58" i="1"/>
  <c r="K54" i="1"/>
  <c r="K50" i="1"/>
  <c r="K46" i="1"/>
  <c r="K42" i="1"/>
  <c r="K38" i="1"/>
  <c r="K34" i="1"/>
  <c r="K30" i="1"/>
  <c r="K26" i="1"/>
  <c r="K22" i="1"/>
  <c r="K18" i="1"/>
  <c r="K14" i="1"/>
  <c r="K10" i="1"/>
  <c r="K6" i="1"/>
  <c r="K257" i="1"/>
  <c r="K253" i="1"/>
  <c r="K249" i="1"/>
  <c r="K245" i="1"/>
  <c r="K241" i="1"/>
  <c r="K237" i="1"/>
  <c r="K233" i="1"/>
  <c r="K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K173" i="1"/>
  <c r="K169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17" i="1"/>
  <c r="K113" i="1"/>
  <c r="K109" i="1"/>
  <c r="K105" i="1"/>
  <c r="K101" i="1"/>
  <c r="K97" i="1"/>
  <c r="K93" i="1"/>
  <c r="K89" i="1"/>
  <c r="K85" i="1"/>
  <c r="K81" i="1"/>
  <c r="K77" i="1"/>
  <c r="K73" i="1"/>
  <c r="K69" i="1"/>
  <c r="K65" i="1"/>
  <c r="K61" i="1"/>
  <c r="K57" i="1"/>
  <c r="K53" i="1"/>
  <c r="K49" i="1"/>
  <c r="K45" i="1"/>
  <c r="K41" i="1"/>
  <c r="K37" i="1"/>
  <c r="K33" i="1"/>
  <c r="K29" i="1"/>
  <c r="K25" i="1"/>
  <c r="K21" i="1"/>
  <c r="K17" i="1"/>
  <c r="K13" i="1"/>
  <c r="K9" i="1"/>
  <c r="K5" i="1"/>
  <c r="K4" i="1"/>
  <c r="X4" i="1"/>
  <c r="X247" i="1"/>
  <c r="X234" i="1"/>
  <c r="X175" i="1"/>
  <c r="X220" i="1"/>
  <c r="X207" i="1"/>
  <c r="X154" i="1"/>
  <c r="X132" i="1"/>
  <c r="X111" i="1"/>
  <c r="X90" i="1"/>
  <c r="X68" i="1"/>
  <c r="X47" i="1"/>
  <c r="X26" i="1"/>
  <c r="X256" i="1"/>
  <c r="X243" i="1"/>
  <c r="X230" i="1"/>
  <c r="X216" i="1"/>
  <c r="X206" i="1"/>
  <c r="X188" i="1"/>
  <c r="X170" i="1"/>
  <c r="X148" i="1"/>
  <c r="X127" i="1"/>
  <c r="X106" i="1"/>
  <c r="X84" i="1"/>
  <c r="X63" i="1"/>
  <c r="X42" i="1"/>
  <c r="X20" i="1"/>
  <c r="X252" i="1"/>
  <c r="X239" i="1"/>
  <c r="X184" i="1"/>
  <c r="X215" i="1"/>
  <c r="X202" i="1"/>
  <c r="X164" i="1"/>
  <c r="X143" i="1"/>
  <c r="X122" i="1"/>
  <c r="X100" i="1"/>
  <c r="X79" i="1"/>
  <c r="X58" i="1"/>
  <c r="X36" i="1"/>
  <c r="X15" i="1"/>
  <c r="X248" i="1"/>
  <c r="X238" i="1"/>
  <c r="X198" i="1"/>
  <c r="X224" i="1"/>
  <c r="X211" i="1"/>
  <c r="X179" i="1"/>
  <c r="X159" i="1"/>
  <c r="X138" i="1"/>
  <c r="X116" i="1"/>
  <c r="X95" i="1"/>
  <c r="X74" i="1"/>
  <c r="X52" i="1"/>
  <c r="X31" i="1"/>
  <c r="X10" i="1"/>
  <c r="X196" i="1"/>
  <c r="X218" i="1"/>
  <c r="X172" i="1"/>
  <c r="X162" i="1"/>
  <c r="X156" i="1"/>
  <c r="X146" i="1"/>
  <c r="X140" i="1"/>
  <c r="X135" i="1"/>
  <c r="X130" i="1"/>
  <c r="X124" i="1"/>
  <c r="X119" i="1"/>
  <c r="X114" i="1"/>
  <c r="X108" i="1"/>
  <c r="X103" i="1"/>
  <c r="X98" i="1"/>
  <c r="X92" i="1"/>
  <c r="X87" i="1"/>
  <c r="X82" i="1"/>
  <c r="X76" i="1"/>
  <c r="X71" i="1"/>
  <c r="X66" i="1"/>
  <c r="X60" i="1"/>
  <c r="X55" i="1"/>
  <c r="X50" i="1"/>
  <c r="X44" i="1"/>
  <c r="X39" i="1"/>
  <c r="X34" i="1"/>
  <c r="X28" i="1"/>
  <c r="X23" i="1"/>
  <c r="X18" i="1"/>
  <c r="X7" i="1"/>
  <c r="X254" i="1"/>
  <c r="X240" i="1"/>
  <c r="X231" i="1"/>
  <c r="X222" i="1"/>
  <c r="X208" i="1"/>
  <c r="X199" i="1"/>
  <c r="X190" i="1"/>
  <c r="X176" i="1"/>
  <c r="X192" i="1"/>
  <c r="X183" i="1"/>
  <c r="X174" i="1"/>
  <c r="X260" i="1"/>
  <c r="X251" i="1"/>
  <c r="X242" i="1"/>
  <c r="X228" i="1"/>
  <c r="X219" i="1"/>
  <c r="X210" i="1"/>
  <c r="X187" i="1"/>
  <c r="X178" i="1"/>
  <c r="X168" i="1"/>
  <c r="X163" i="1"/>
  <c r="X158" i="1"/>
  <c r="X152" i="1"/>
  <c r="X147" i="1"/>
  <c r="X142" i="1"/>
  <c r="X136" i="1"/>
  <c r="X131" i="1"/>
  <c r="X126" i="1"/>
  <c r="X120" i="1"/>
  <c r="X115" i="1"/>
  <c r="X110" i="1"/>
  <c r="X104" i="1"/>
  <c r="X99" i="1"/>
  <c r="X94" i="1"/>
  <c r="X88" i="1"/>
  <c r="X83" i="1"/>
  <c r="X78" i="1"/>
  <c r="X72" i="1"/>
  <c r="X67" i="1"/>
  <c r="X62" i="1"/>
  <c r="X56" i="1"/>
  <c r="X51" i="1"/>
  <c r="X46" i="1"/>
  <c r="X40" i="1"/>
  <c r="X35" i="1"/>
  <c r="X30" i="1"/>
  <c r="X24" i="1"/>
  <c r="X19" i="1"/>
  <c r="X14" i="1"/>
  <c r="X8" i="1"/>
  <c r="X255" i="1"/>
  <c r="X246" i="1"/>
  <c r="X232" i="1"/>
  <c r="X223" i="1"/>
  <c r="X214" i="1"/>
  <c r="X200" i="1"/>
  <c r="X191" i="1"/>
  <c r="X182" i="1"/>
  <c r="X259" i="1"/>
  <c r="X250" i="1"/>
  <c r="X236" i="1"/>
  <c r="X227" i="1"/>
  <c r="X204" i="1"/>
  <c r="X195" i="1"/>
  <c r="X186" i="1"/>
  <c r="X167" i="1"/>
  <c r="X151" i="1"/>
  <c r="X12" i="1"/>
  <c r="X258" i="1"/>
  <c r="X244" i="1"/>
  <c r="X235" i="1"/>
  <c r="X226" i="1"/>
  <c r="X212" i="1"/>
  <c r="X203" i="1"/>
  <c r="X194" i="1"/>
  <c r="X180" i="1"/>
  <c r="X171" i="1"/>
  <c r="X166" i="1"/>
  <c r="X160" i="1"/>
  <c r="X155" i="1"/>
  <c r="X150" i="1"/>
  <c r="X144" i="1"/>
  <c r="X139" i="1"/>
  <c r="X134" i="1"/>
  <c r="X128" i="1"/>
  <c r="X123" i="1"/>
  <c r="X118" i="1"/>
  <c r="X112" i="1"/>
  <c r="X107" i="1"/>
  <c r="X102" i="1"/>
  <c r="X96" i="1"/>
  <c r="X91" i="1"/>
  <c r="X86" i="1"/>
  <c r="X80" i="1"/>
  <c r="X75" i="1"/>
  <c r="X70" i="1"/>
  <c r="X64" i="1"/>
  <c r="X59" i="1"/>
  <c r="X54" i="1"/>
  <c r="X48" i="1"/>
  <c r="X43" i="1"/>
  <c r="X38" i="1"/>
  <c r="X32" i="1"/>
  <c r="X27" i="1"/>
  <c r="X22" i="1"/>
  <c r="X16" i="1"/>
  <c r="X11" i="1"/>
  <c r="X6" i="1"/>
  <c r="X257" i="1"/>
  <c r="X253" i="1"/>
  <c r="X249" i="1"/>
  <c r="X245" i="1"/>
  <c r="X241" i="1"/>
  <c r="X237" i="1"/>
  <c r="X233" i="1"/>
  <c r="X229" i="1"/>
  <c r="X225" i="1"/>
  <c r="X221" i="1"/>
  <c r="X217" i="1"/>
  <c r="X213" i="1"/>
  <c r="X209" i="1"/>
  <c r="X205" i="1"/>
  <c r="X201" i="1"/>
  <c r="X197" i="1"/>
  <c r="X193" i="1"/>
  <c r="X189" i="1"/>
  <c r="X185" i="1"/>
  <c r="X181" i="1"/>
  <c r="X177" i="1"/>
  <c r="X173" i="1"/>
  <c r="X169" i="1"/>
  <c r="X165" i="1"/>
  <c r="X161" i="1"/>
  <c r="X157" i="1"/>
  <c r="X153" i="1"/>
  <c r="X149" i="1"/>
  <c r="X145" i="1"/>
  <c r="X141" i="1"/>
  <c r="X137" i="1"/>
  <c r="X133" i="1"/>
  <c r="X129" i="1"/>
  <c r="X125" i="1"/>
  <c r="X121" i="1"/>
  <c r="X117" i="1"/>
  <c r="X113" i="1"/>
  <c r="X109" i="1"/>
  <c r="X105" i="1"/>
  <c r="X101" i="1"/>
  <c r="X97" i="1"/>
  <c r="X93" i="1"/>
  <c r="X89" i="1"/>
  <c r="X85" i="1"/>
  <c r="X81" i="1"/>
  <c r="X77" i="1"/>
  <c r="X73" i="1"/>
  <c r="X69" i="1"/>
  <c r="X65" i="1"/>
  <c r="X61" i="1"/>
  <c r="X57" i="1"/>
  <c r="X53" i="1"/>
  <c r="X49" i="1"/>
  <c r="X45" i="1"/>
  <c r="X41" i="1"/>
  <c r="X37" i="1"/>
  <c r="X33" i="1"/>
  <c r="X29" i="1"/>
  <c r="X25" i="1"/>
  <c r="X21" i="1"/>
  <c r="X17" i="1"/>
  <c r="X13" i="1"/>
  <c r="X9" i="1"/>
  <c r="X5" i="1"/>
  <c r="W19" i="1"/>
  <c r="W251" i="1"/>
  <c r="W239" i="1"/>
  <c r="W227" i="1"/>
  <c r="W215" i="1"/>
  <c r="W203" i="1"/>
  <c r="W195" i="1"/>
  <c r="W187" i="1"/>
  <c r="W175" i="1"/>
  <c r="W167" i="1"/>
  <c r="W159" i="1"/>
  <c r="W155" i="1"/>
  <c r="W147" i="1"/>
  <c r="W139" i="1"/>
  <c r="W131" i="1"/>
  <c r="W127" i="1"/>
  <c r="W119" i="1"/>
  <c r="W115" i="1"/>
  <c r="W111" i="1"/>
  <c r="W107" i="1"/>
  <c r="W95" i="1"/>
  <c r="W91" i="1"/>
  <c r="W87" i="1"/>
  <c r="W83" i="1"/>
  <c r="W79" i="1"/>
  <c r="W75" i="1"/>
  <c r="W71" i="1"/>
  <c r="W67" i="1"/>
  <c r="W63" i="1"/>
  <c r="W59" i="1"/>
  <c r="W55" i="1"/>
  <c r="W51" i="1"/>
  <c r="W47" i="1"/>
  <c r="W43" i="1"/>
  <c r="W39" i="1"/>
  <c r="W35" i="1"/>
  <c r="W31" i="1"/>
  <c r="W15" i="1"/>
  <c r="W260" i="1"/>
  <c r="W256" i="1"/>
  <c r="W252" i="1"/>
  <c r="W248" i="1"/>
  <c r="W244" i="1"/>
  <c r="W240" i="1"/>
  <c r="W236" i="1"/>
  <c r="W232" i="1"/>
  <c r="W228" i="1"/>
  <c r="W224" i="1"/>
  <c r="W220" i="1"/>
  <c r="W216" i="1"/>
  <c r="W212" i="1"/>
  <c r="W208" i="1"/>
  <c r="W204" i="1"/>
  <c r="W200" i="1"/>
  <c r="W196" i="1"/>
  <c r="W192" i="1"/>
  <c r="W188" i="1"/>
  <c r="W184" i="1"/>
  <c r="W180" i="1"/>
  <c r="W176" i="1"/>
  <c r="W172" i="1"/>
  <c r="W168" i="1"/>
  <c r="W164" i="1"/>
  <c r="W160" i="1"/>
  <c r="W156" i="1"/>
  <c r="W152" i="1"/>
  <c r="W148" i="1"/>
  <c r="W144" i="1"/>
  <c r="W140" i="1"/>
  <c r="W136" i="1"/>
  <c r="W132" i="1"/>
  <c r="W128" i="1"/>
  <c r="W124" i="1"/>
  <c r="W120" i="1"/>
  <c r="W116" i="1"/>
  <c r="W112" i="1"/>
  <c r="W108" i="1"/>
  <c r="W104" i="1"/>
  <c r="W100" i="1"/>
  <c r="W96" i="1"/>
  <c r="W92" i="1"/>
  <c r="W88" i="1"/>
  <c r="W84" i="1"/>
  <c r="W80" i="1"/>
  <c r="W76" i="1"/>
  <c r="W72" i="1"/>
  <c r="W68" i="1"/>
  <c r="W64" i="1"/>
  <c r="W60" i="1"/>
  <c r="W56" i="1"/>
  <c r="W52" i="1"/>
  <c r="W48" i="1"/>
  <c r="W44" i="1"/>
  <c r="W40" i="1"/>
  <c r="W36" i="1"/>
  <c r="W32" i="1"/>
  <c r="W28" i="1"/>
  <c r="W24" i="1"/>
  <c r="W20" i="1"/>
  <c r="W16" i="1"/>
  <c r="W12" i="1"/>
  <c r="W8" i="1"/>
  <c r="W255" i="1"/>
  <c r="W243" i="1"/>
  <c r="W231" i="1"/>
  <c r="W219" i="1"/>
  <c r="W207" i="1"/>
  <c r="W191" i="1"/>
  <c r="W183" i="1"/>
  <c r="W171" i="1"/>
  <c r="W163" i="1"/>
  <c r="W151" i="1"/>
  <c r="W143" i="1"/>
  <c r="W135" i="1"/>
  <c r="W123" i="1"/>
  <c r="W103" i="1"/>
  <c r="W7" i="1"/>
  <c r="W259" i="1"/>
  <c r="W247" i="1"/>
  <c r="W235" i="1"/>
  <c r="W223" i="1"/>
  <c r="W211" i="1"/>
  <c r="W199" i="1"/>
  <c r="W179" i="1"/>
  <c r="W99" i="1"/>
  <c r="W27" i="1"/>
  <c r="W258" i="1"/>
  <c r="W254" i="1"/>
  <c r="W250" i="1"/>
  <c r="W246" i="1"/>
  <c r="W242" i="1"/>
  <c r="W238" i="1"/>
  <c r="W234" i="1"/>
  <c r="W230" i="1"/>
  <c r="W226" i="1"/>
  <c r="W222" i="1"/>
  <c r="W218" i="1"/>
  <c r="W214" i="1"/>
  <c r="W210" i="1"/>
  <c r="W206" i="1"/>
  <c r="W202" i="1"/>
  <c r="W198" i="1"/>
  <c r="W194" i="1"/>
  <c r="W190" i="1"/>
  <c r="W186" i="1"/>
  <c r="W182" i="1"/>
  <c r="W178" i="1"/>
  <c r="W174" i="1"/>
  <c r="W170" i="1"/>
  <c r="W166" i="1"/>
  <c r="W162" i="1"/>
  <c r="W158" i="1"/>
  <c r="W154" i="1"/>
  <c r="W150" i="1"/>
  <c r="W146" i="1"/>
  <c r="W142" i="1"/>
  <c r="W138" i="1"/>
  <c r="W134" i="1"/>
  <c r="W130" i="1"/>
  <c r="W126" i="1"/>
  <c r="W122" i="1"/>
  <c r="W118" i="1"/>
  <c r="W114" i="1"/>
  <c r="W110" i="1"/>
  <c r="W106" i="1"/>
  <c r="W102" i="1"/>
  <c r="W98" i="1"/>
  <c r="W94" i="1"/>
  <c r="W90" i="1"/>
  <c r="W86" i="1"/>
  <c r="W82" i="1"/>
  <c r="W78" i="1"/>
  <c r="W74" i="1"/>
  <c r="W70" i="1"/>
  <c r="W66" i="1"/>
  <c r="W62" i="1"/>
  <c r="W58" i="1"/>
  <c r="W54" i="1"/>
  <c r="W50" i="1"/>
  <c r="W46" i="1"/>
  <c r="W42" i="1"/>
  <c r="W38" i="1"/>
  <c r="W34" i="1"/>
  <c r="W30" i="1"/>
  <c r="W26" i="1"/>
  <c r="W22" i="1"/>
  <c r="W18" i="1"/>
  <c r="W14" i="1"/>
  <c r="W10" i="1"/>
  <c r="W6" i="1"/>
  <c r="W23" i="1"/>
  <c r="W11" i="1"/>
  <c r="W257" i="1"/>
  <c r="W253" i="1"/>
  <c r="W249" i="1"/>
  <c r="W245" i="1"/>
  <c r="W241" i="1"/>
  <c r="W237" i="1"/>
  <c r="W233" i="1"/>
  <c r="W229" i="1"/>
  <c r="W225" i="1"/>
  <c r="W221" i="1"/>
  <c r="W217" i="1"/>
  <c r="W213" i="1"/>
  <c r="W209" i="1"/>
  <c r="W205" i="1"/>
  <c r="W201" i="1"/>
  <c r="W197" i="1"/>
  <c r="W193" i="1"/>
  <c r="W189" i="1"/>
  <c r="W185" i="1"/>
  <c r="W181" i="1"/>
  <c r="W177" i="1"/>
  <c r="W173" i="1"/>
  <c r="W169" i="1"/>
  <c r="W165" i="1"/>
  <c r="W161" i="1"/>
  <c r="W157" i="1"/>
  <c r="W153" i="1"/>
  <c r="W149" i="1"/>
  <c r="W145" i="1"/>
  <c r="W141" i="1"/>
  <c r="W137" i="1"/>
  <c r="W133" i="1"/>
  <c r="W129" i="1"/>
  <c r="W125" i="1"/>
  <c r="W121" i="1"/>
  <c r="W117" i="1"/>
  <c r="W113" i="1"/>
  <c r="W109" i="1"/>
  <c r="W105" i="1"/>
  <c r="W101" i="1"/>
  <c r="W97" i="1"/>
  <c r="W93" i="1"/>
  <c r="W89" i="1"/>
  <c r="W85" i="1"/>
  <c r="W81" i="1"/>
  <c r="W77" i="1"/>
  <c r="W73" i="1"/>
  <c r="W69" i="1"/>
  <c r="W65" i="1"/>
  <c r="W61" i="1"/>
  <c r="W57" i="1"/>
  <c r="W53" i="1"/>
  <c r="W49" i="1"/>
  <c r="W45" i="1"/>
  <c r="W41" i="1"/>
  <c r="W37" i="1"/>
  <c r="W33" i="1"/>
  <c r="W29" i="1"/>
  <c r="W25" i="1"/>
  <c r="W21" i="1"/>
  <c r="W17" i="1"/>
  <c r="W13" i="1"/>
  <c r="W9" i="1"/>
  <c r="W5" i="1"/>
  <c r="W4" i="1"/>
  <c r="J4" i="1"/>
  <c r="AA4" i="1" s="1"/>
  <c r="AC5" i="1" s="1"/>
  <c r="V8" i="1"/>
  <c r="V256" i="1"/>
  <c r="V248" i="1"/>
  <c r="V240" i="1"/>
  <c r="V232" i="1"/>
  <c r="V224" i="1"/>
  <c r="V216" i="1"/>
  <c r="V208" i="1"/>
  <c r="V184" i="1"/>
  <c r="V20" i="1"/>
  <c r="V259" i="1"/>
  <c r="V255" i="1"/>
  <c r="V251" i="1"/>
  <c r="V247" i="1"/>
  <c r="V243" i="1"/>
  <c r="V239" i="1"/>
  <c r="V235" i="1"/>
  <c r="V231" i="1"/>
  <c r="V227" i="1"/>
  <c r="V223" i="1"/>
  <c r="V219" i="1"/>
  <c r="V215" i="1"/>
  <c r="V211" i="1"/>
  <c r="V207" i="1"/>
  <c r="V203" i="1"/>
  <c r="V199" i="1"/>
  <c r="V195" i="1"/>
  <c r="V191" i="1"/>
  <c r="V187" i="1"/>
  <c r="V183" i="1"/>
  <c r="V179" i="1"/>
  <c r="V175" i="1"/>
  <c r="V171" i="1"/>
  <c r="V167" i="1"/>
  <c r="V163" i="1"/>
  <c r="V159" i="1"/>
  <c r="V155" i="1"/>
  <c r="V151" i="1"/>
  <c r="V147" i="1"/>
  <c r="V143" i="1"/>
  <c r="V139" i="1"/>
  <c r="V135" i="1"/>
  <c r="V131" i="1"/>
  <c r="V127" i="1"/>
  <c r="V123" i="1"/>
  <c r="V119" i="1"/>
  <c r="V115" i="1"/>
  <c r="V111" i="1"/>
  <c r="V107" i="1"/>
  <c r="V103" i="1"/>
  <c r="V99" i="1"/>
  <c r="V95" i="1"/>
  <c r="V91" i="1"/>
  <c r="V87" i="1"/>
  <c r="V83" i="1"/>
  <c r="V79" i="1"/>
  <c r="V75" i="1"/>
  <c r="V71" i="1"/>
  <c r="V67" i="1"/>
  <c r="V63" i="1"/>
  <c r="V59" i="1"/>
  <c r="V55" i="1"/>
  <c r="V51" i="1"/>
  <c r="V47" i="1"/>
  <c r="V43" i="1"/>
  <c r="V39" i="1"/>
  <c r="V35" i="1"/>
  <c r="V31" i="1"/>
  <c r="V27" i="1"/>
  <c r="V23" i="1"/>
  <c r="V19" i="1"/>
  <c r="V15" i="1"/>
  <c r="V11" i="1"/>
  <c r="V7" i="1"/>
  <c r="V16" i="1"/>
  <c r="V260" i="1"/>
  <c r="V252" i="1"/>
  <c r="V244" i="1"/>
  <c r="V236" i="1"/>
  <c r="V228" i="1"/>
  <c r="V220" i="1"/>
  <c r="V212" i="1"/>
  <c r="V204" i="1"/>
  <c r="V200" i="1"/>
  <c r="V196" i="1"/>
  <c r="V192" i="1"/>
  <c r="V188" i="1"/>
  <c r="V180" i="1"/>
  <c r="V176" i="1"/>
  <c r="V172" i="1"/>
  <c r="V168" i="1"/>
  <c r="V164" i="1"/>
  <c r="V160" i="1"/>
  <c r="V156" i="1"/>
  <c r="V152" i="1"/>
  <c r="V148" i="1"/>
  <c r="V144" i="1"/>
  <c r="V136" i="1"/>
  <c r="V132" i="1"/>
  <c r="V128" i="1"/>
  <c r="V124" i="1"/>
  <c r="V120" i="1"/>
  <c r="V116" i="1"/>
  <c r="V112" i="1"/>
  <c r="V108" i="1"/>
  <c r="V104" i="1"/>
  <c r="V100" i="1"/>
  <c r="V96" i="1"/>
  <c r="V92" i="1"/>
  <c r="V88" i="1"/>
  <c r="V84" i="1"/>
  <c r="V80" i="1"/>
  <c r="V76" i="1"/>
  <c r="V72" i="1"/>
  <c r="V68" i="1"/>
  <c r="V64" i="1"/>
  <c r="V60" i="1"/>
  <c r="V56" i="1"/>
  <c r="V52" i="1"/>
  <c r="V48" i="1"/>
  <c r="V44" i="1"/>
  <c r="V40" i="1"/>
  <c r="V36" i="1"/>
  <c r="V32" i="1"/>
  <c r="V28" i="1"/>
  <c r="V12" i="1"/>
  <c r="V258" i="1"/>
  <c r="V254" i="1"/>
  <c r="V250" i="1"/>
  <c r="V246" i="1"/>
  <c r="V242" i="1"/>
  <c r="V238" i="1"/>
  <c r="V234" i="1"/>
  <c r="V230" i="1"/>
  <c r="V226" i="1"/>
  <c r="V222" i="1"/>
  <c r="V218" i="1"/>
  <c r="V214" i="1"/>
  <c r="V210" i="1"/>
  <c r="V206" i="1"/>
  <c r="V202" i="1"/>
  <c r="V198" i="1"/>
  <c r="V194" i="1"/>
  <c r="V190" i="1"/>
  <c r="V186" i="1"/>
  <c r="V182" i="1"/>
  <c r="V178" i="1"/>
  <c r="V174" i="1"/>
  <c r="V170" i="1"/>
  <c r="V166" i="1"/>
  <c r="V162" i="1"/>
  <c r="V158" i="1"/>
  <c r="V154" i="1"/>
  <c r="V150" i="1"/>
  <c r="V146" i="1"/>
  <c r="V142" i="1"/>
  <c r="V138" i="1"/>
  <c r="V134" i="1"/>
  <c r="V130" i="1"/>
  <c r="V126" i="1"/>
  <c r="V122" i="1"/>
  <c r="V118" i="1"/>
  <c r="V114" i="1"/>
  <c r="V110" i="1"/>
  <c r="V106" i="1"/>
  <c r="V102" i="1"/>
  <c r="V98" i="1"/>
  <c r="V94" i="1"/>
  <c r="V90" i="1"/>
  <c r="V86" i="1"/>
  <c r="V82" i="1"/>
  <c r="V78" i="1"/>
  <c r="V74" i="1"/>
  <c r="V70" i="1"/>
  <c r="V66" i="1"/>
  <c r="V62" i="1"/>
  <c r="V58" i="1"/>
  <c r="V54" i="1"/>
  <c r="V50" i="1"/>
  <c r="V46" i="1"/>
  <c r="V42" i="1"/>
  <c r="V38" i="1"/>
  <c r="V34" i="1"/>
  <c r="V30" i="1"/>
  <c r="V26" i="1"/>
  <c r="V22" i="1"/>
  <c r="V18" i="1"/>
  <c r="V14" i="1"/>
  <c r="V10" i="1"/>
  <c r="V6" i="1"/>
  <c r="V24" i="1"/>
  <c r="V140" i="1"/>
  <c r="V257" i="1"/>
  <c r="V253" i="1"/>
  <c r="V249" i="1"/>
  <c r="V245" i="1"/>
  <c r="V241" i="1"/>
  <c r="V237" i="1"/>
  <c r="V233" i="1"/>
  <c r="V229" i="1"/>
  <c r="V225" i="1"/>
  <c r="V221" i="1"/>
  <c r="V217" i="1"/>
  <c r="V213" i="1"/>
  <c r="V209" i="1"/>
  <c r="V205" i="1"/>
  <c r="V201" i="1"/>
  <c r="V197" i="1"/>
  <c r="V193" i="1"/>
  <c r="V189" i="1"/>
  <c r="V185" i="1"/>
  <c r="V181" i="1"/>
  <c r="V177" i="1"/>
  <c r="V173" i="1"/>
  <c r="V169" i="1"/>
  <c r="V165" i="1"/>
  <c r="V161" i="1"/>
  <c r="V157" i="1"/>
  <c r="V153" i="1"/>
  <c r="V149" i="1"/>
  <c r="V145" i="1"/>
  <c r="V141" i="1"/>
  <c r="V137" i="1"/>
  <c r="V133" i="1"/>
  <c r="V129" i="1"/>
  <c r="V125" i="1"/>
  <c r="V121" i="1"/>
  <c r="V117" i="1"/>
  <c r="V113" i="1"/>
  <c r="V109" i="1"/>
  <c r="V105" i="1"/>
  <c r="V101" i="1"/>
  <c r="V97" i="1"/>
  <c r="V93" i="1"/>
  <c r="V89" i="1"/>
  <c r="V85" i="1"/>
  <c r="V81" i="1"/>
  <c r="V77" i="1"/>
  <c r="V73" i="1"/>
  <c r="V69" i="1"/>
  <c r="V65" i="1"/>
  <c r="V61" i="1"/>
  <c r="V57" i="1"/>
  <c r="V53" i="1"/>
  <c r="V49" i="1"/>
  <c r="V45" i="1"/>
  <c r="V41" i="1"/>
  <c r="V37" i="1"/>
  <c r="V33" i="1"/>
  <c r="V29" i="1"/>
  <c r="V25" i="1"/>
  <c r="V21" i="1"/>
  <c r="V17" i="1"/>
  <c r="V13" i="1"/>
  <c r="V9" i="1"/>
  <c r="V5" i="1"/>
  <c r="V4" i="1"/>
  <c r="J260" i="1"/>
  <c r="AA260" i="1" s="1"/>
  <c r="J256" i="1"/>
  <c r="AA256" i="1" s="1"/>
  <c r="J252" i="1"/>
  <c r="AA252" i="1" s="1"/>
  <c r="J248" i="1"/>
  <c r="J244" i="1"/>
  <c r="J240" i="1"/>
  <c r="J236" i="1"/>
  <c r="J232" i="1"/>
  <c r="J228" i="1"/>
  <c r="AA228" i="1" s="1"/>
  <c r="J224" i="1"/>
  <c r="AA224" i="1" s="1"/>
  <c r="J220" i="1"/>
  <c r="AA220" i="1" s="1"/>
  <c r="J216" i="1"/>
  <c r="J212" i="1"/>
  <c r="J208" i="1"/>
  <c r="J204" i="1"/>
  <c r="J200" i="1"/>
  <c r="J196" i="1"/>
  <c r="AA196" i="1" s="1"/>
  <c r="J192" i="1"/>
  <c r="AA192" i="1" s="1"/>
  <c r="J188" i="1"/>
  <c r="AA188" i="1" s="1"/>
  <c r="J184" i="1"/>
  <c r="J180" i="1"/>
  <c r="J176" i="1"/>
  <c r="J172" i="1"/>
  <c r="J168" i="1"/>
  <c r="J164" i="1"/>
  <c r="J160" i="1"/>
  <c r="AA160" i="1" s="1"/>
  <c r="J156" i="1"/>
  <c r="AA156" i="1" s="1"/>
  <c r="J152" i="1"/>
  <c r="J148" i="1"/>
  <c r="J144" i="1"/>
  <c r="J140" i="1"/>
  <c r="J136" i="1"/>
  <c r="J132" i="1"/>
  <c r="J128" i="1"/>
  <c r="AA128" i="1" s="1"/>
  <c r="J124" i="1"/>
  <c r="AA124" i="1" s="1"/>
  <c r="J120" i="1"/>
  <c r="J116" i="1"/>
  <c r="J112" i="1"/>
  <c r="J108" i="1"/>
  <c r="J104" i="1"/>
  <c r="J100" i="1"/>
  <c r="AA100" i="1" s="1"/>
  <c r="J96" i="1"/>
  <c r="AA96" i="1" s="1"/>
  <c r="J92" i="1"/>
  <c r="AA92" i="1" s="1"/>
  <c r="J88" i="1"/>
  <c r="J84" i="1"/>
  <c r="J80" i="1"/>
  <c r="J76" i="1"/>
  <c r="J72" i="1"/>
  <c r="J68" i="1"/>
  <c r="AA68" i="1" s="1"/>
  <c r="J64" i="1"/>
  <c r="AA64" i="1" s="1"/>
  <c r="J60" i="1"/>
  <c r="AA60" i="1" s="1"/>
  <c r="J56" i="1"/>
  <c r="J52" i="1"/>
  <c r="J48" i="1"/>
  <c r="J44" i="1"/>
  <c r="J40" i="1"/>
  <c r="J36" i="1"/>
  <c r="AA36" i="1" s="1"/>
  <c r="J32" i="1"/>
  <c r="AA32" i="1" s="1"/>
  <c r="J28" i="1"/>
  <c r="AA28" i="1" s="1"/>
  <c r="J24" i="1"/>
  <c r="J20" i="1"/>
  <c r="J16" i="1"/>
  <c r="AA16" i="1" s="1"/>
  <c r="J12" i="1"/>
  <c r="J8" i="1"/>
  <c r="J259" i="1"/>
  <c r="AA259" i="1" s="1"/>
  <c r="J255" i="1"/>
  <c r="AA255" i="1" s="1"/>
  <c r="J251" i="1"/>
  <c r="AA251" i="1" s="1"/>
  <c r="J247" i="1"/>
  <c r="J243" i="1"/>
  <c r="J239" i="1"/>
  <c r="J235" i="1"/>
  <c r="J231" i="1"/>
  <c r="J227" i="1"/>
  <c r="AA227" i="1" s="1"/>
  <c r="J223" i="1"/>
  <c r="AA223" i="1" s="1"/>
  <c r="J219" i="1"/>
  <c r="AA219" i="1" s="1"/>
  <c r="J215" i="1"/>
  <c r="J211" i="1"/>
  <c r="J207" i="1"/>
  <c r="J203" i="1"/>
  <c r="J199" i="1"/>
  <c r="J195" i="1"/>
  <c r="AA195" i="1" s="1"/>
  <c r="J191" i="1"/>
  <c r="AA191" i="1" s="1"/>
  <c r="J187" i="1"/>
  <c r="AA187" i="1" s="1"/>
  <c r="J183" i="1"/>
  <c r="J179" i="1"/>
  <c r="J175" i="1"/>
  <c r="J171" i="1"/>
  <c r="J167" i="1"/>
  <c r="J163" i="1"/>
  <c r="AA163" i="1" s="1"/>
  <c r="J159" i="1"/>
  <c r="AA159" i="1" s="1"/>
  <c r="J155" i="1"/>
  <c r="AA155" i="1" s="1"/>
  <c r="J151" i="1"/>
  <c r="J147" i="1"/>
  <c r="J143" i="1"/>
  <c r="J139" i="1"/>
  <c r="J135" i="1"/>
  <c r="J131" i="1"/>
  <c r="AA131" i="1" s="1"/>
  <c r="J127" i="1"/>
  <c r="AA127" i="1" s="1"/>
  <c r="J123" i="1"/>
  <c r="AA123" i="1" s="1"/>
  <c r="J119" i="1"/>
  <c r="J115" i="1"/>
  <c r="J111" i="1"/>
  <c r="J107" i="1"/>
  <c r="J103" i="1"/>
  <c r="J99" i="1"/>
  <c r="AA99" i="1" s="1"/>
  <c r="J95" i="1"/>
  <c r="AA95" i="1" s="1"/>
  <c r="J91" i="1"/>
  <c r="AA91" i="1" s="1"/>
  <c r="J87" i="1"/>
  <c r="J83" i="1"/>
  <c r="J79" i="1"/>
  <c r="J75" i="1"/>
  <c r="J71" i="1"/>
  <c r="J67" i="1"/>
  <c r="AA67" i="1" s="1"/>
  <c r="J63" i="1"/>
  <c r="AA63" i="1" s="1"/>
  <c r="J59" i="1"/>
  <c r="AA59" i="1" s="1"/>
  <c r="J55" i="1"/>
  <c r="J51" i="1"/>
  <c r="J47" i="1"/>
  <c r="J43" i="1"/>
  <c r="J39" i="1"/>
  <c r="J35" i="1"/>
  <c r="AA35" i="1" s="1"/>
  <c r="J31" i="1"/>
  <c r="AA31" i="1" s="1"/>
  <c r="J27" i="1"/>
  <c r="AA27" i="1" s="1"/>
  <c r="J23" i="1"/>
  <c r="J19" i="1"/>
  <c r="J15" i="1"/>
  <c r="J11" i="1"/>
  <c r="J7" i="1"/>
  <c r="J258" i="1"/>
  <c r="AA258" i="1" s="1"/>
  <c r="J254" i="1"/>
  <c r="AA254" i="1" s="1"/>
  <c r="J250" i="1"/>
  <c r="AA250" i="1" s="1"/>
  <c r="J246" i="1"/>
  <c r="J242" i="1"/>
  <c r="J238" i="1"/>
  <c r="J234" i="1"/>
  <c r="J230" i="1"/>
  <c r="J226" i="1"/>
  <c r="AA226" i="1" s="1"/>
  <c r="J222" i="1"/>
  <c r="AA222" i="1" s="1"/>
  <c r="J218" i="1"/>
  <c r="AA218" i="1" s="1"/>
  <c r="J214" i="1"/>
  <c r="J210" i="1"/>
  <c r="J206" i="1"/>
  <c r="J202" i="1"/>
  <c r="J198" i="1"/>
  <c r="J194" i="1"/>
  <c r="AA194" i="1" s="1"/>
  <c r="J190" i="1"/>
  <c r="AA190" i="1" s="1"/>
  <c r="J186" i="1"/>
  <c r="AA186" i="1" s="1"/>
  <c r="J182" i="1"/>
  <c r="J178" i="1"/>
  <c r="J174" i="1"/>
  <c r="J170" i="1"/>
  <c r="J166" i="1"/>
  <c r="J162" i="1"/>
  <c r="AA162" i="1" s="1"/>
  <c r="J158" i="1"/>
  <c r="AA158" i="1" s="1"/>
  <c r="J154" i="1"/>
  <c r="AA154" i="1" s="1"/>
  <c r="J150" i="1"/>
  <c r="J146" i="1"/>
  <c r="J142" i="1"/>
  <c r="J138" i="1"/>
  <c r="J134" i="1"/>
  <c r="J130" i="1"/>
  <c r="AA130" i="1" s="1"/>
  <c r="J126" i="1"/>
  <c r="AA126" i="1" s="1"/>
  <c r="J122" i="1"/>
  <c r="AA122" i="1" s="1"/>
  <c r="J118" i="1"/>
  <c r="J114" i="1"/>
  <c r="J110" i="1"/>
  <c r="J106" i="1"/>
  <c r="J102" i="1"/>
  <c r="J98" i="1"/>
  <c r="AA98" i="1" s="1"/>
  <c r="J94" i="1"/>
  <c r="AA94" i="1" s="1"/>
  <c r="J90" i="1"/>
  <c r="AA90" i="1" s="1"/>
  <c r="J86" i="1"/>
  <c r="J82" i="1"/>
  <c r="J78" i="1"/>
  <c r="J74" i="1"/>
  <c r="J70" i="1"/>
  <c r="J66" i="1"/>
  <c r="AA66" i="1" s="1"/>
  <c r="J62" i="1"/>
  <c r="AA62" i="1" s="1"/>
  <c r="J58" i="1"/>
  <c r="AA58" i="1" s="1"/>
  <c r="J54" i="1"/>
  <c r="J50" i="1"/>
  <c r="J46" i="1"/>
  <c r="J42" i="1"/>
  <c r="J38" i="1"/>
  <c r="J34" i="1"/>
  <c r="AA34" i="1" s="1"/>
  <c r="J30" i="1"/>
  <c r="AA30" i="1" s="1"/>
  <c r="J26" i="1"/>
  <c r="AA26" i="1" s="1"/>
  <c r="J22" i="1"/>
  <c r="J18" i="1"/>
  <c r="J14" i="1"/>
  <c r="J10" i="1"/>
  <c r="J6" i="1"/>
  <c r="J257" i="1"/>
  <c r="AA257" i="1" s="1"/>
  <c r="J253" i="1"/>
  <c r="AA253" i="1" s="1"/>
  <c r="J249" i="1"/>
  <c r="AA249" i="1" s="1"/>
  <c r="J245" i="1"/>
  <c r="J241" i="1"/>
  <c r="J237" i="1"/>
  <c r="J233" i="1"/>
  <c r="J229" i="1"/>
  <c r="J225" i="1"/>
  <c r="AA225" i="1" s="1"/>
  <c r="J221" i="1"/>
  <c r="AA221" i="1" s="1"/>
  <c r="J217" i="1"/>
  <c r="AA217" i="1" s="1"/>
  <c r="J213" i="1"/>
  <c r="J209" i="1"/>
  <c r="J205" i="1"/>
  <c r="J201" i="1"/>
  <c r="J197" i="1"/>
  <c r="J193" i="1"/>
  <c r="AA193" i="1" s="1"/>
  <c r="J189" i="1"/>
  <c r="AA189" i="1" s="1"/>
  <c r="J185" i="1"/>
  <c r="AA185" i="1" s="1"/>
  <c r="J181" i="1"/>
  <c r="J177" i="1"/>
  <c r="J173" i="1"/>
  <c r="J169" i="1"/>
  <c r="J165" i="1"/>
  <c r="J161" i="1"/>
  <c r="AA161" i="1" s="1"/>
  <c r="J157" i="1"/>
  <c r="AA157" i="1" s="1"/>
  <c r="J153" i="1"/>
  <c r="AA153" i="1" s="1"/>
  <c r="J149" i="1"/>
  <c r="J145" i="1"/>
  <c r="J141" i="1"/>
  <c r="J137" i="1"/>
  <c r="J133" i="1"/>
  <c r="J129" i="1"/>
  <c r="AA129" i="1" s="1"/>
  <c r="J125" i="1"/>
  <c r="AA125" i="1" s="1"/>
  <c r="J121" i="1"/>
  <c r="AA121" i="1" s="1"/>
  <c r="J117" i="1"/>
  <c r="J113" i="1"/>
  <c r="J109" i="1"/>
  <c r="J105" i="1"/>
  <c r="J101" i="1"/>
  <c r="J97" i="1"/>
  <c r="AA97" i="1" s="1"/>
  <c r="J93" i="1"/>
  <c r="AA93" i="1" s="1"/>
  <c r="J89" i="1"/>
  <c r="AA89" i="1" s="1"/>
  <c r="J85" i="1"/>
  <c r="J81" i="1"/>
  <c r="J77" i="1"/>
  <c r="J73" i="1"/>
  <c r="J69" i="1"/>
  <c r="J65" i="1"/>
  <c r="AA65" i="1" s="1"/>
  <c r="J61" i="1"/>
  <c r="AA61" i="1" s="1"/>
  <c r="J57" i="1"/>
  <c r="AA57" i="1" s="1"/>
  <c r="J53" i="1"/>
  <c r="J49" i="1"/>
  <c r="J45" i="1"/>
  <c r="J41" i="1"/>
  <c r="J37" i="1"/>
  <c r="J33" i="1"/>
  <c r="AA33" i="1" s="1"/>
  <c r="J29" i="1"/>
  <c r="AA29" i="1" s="1"/>
  <c r="J25" i="1"/>
  <c r="AA25" i="1" s="1"/>
  <c r="J21" i="1"/>
  <c r="J17" i="1"/>
  <c r="J13" i="1"/>
  <c r="J9" i="1"/>
  <c r="J5" i="1"/>
  <c r="I260" i="1"/>
  <c r="I256" i="1"/>
  <c r="I252" i="1"/>
  <c r="I248" i="1"/>
  <c r="I244" i="1"/>
  <c r="I240" i="1"/>
  <c r="I236" i="1"/>
  <c r="I232" i="1"/>
  <c r="I228" i="1"/>
  <c r="I224" i="1"/>
  <c r="I220" i="1"/>
  <c r="I216" i="1"/>
  <c r="I212" i="1"/>
  <c r="I208" i="1"/>
  <c r="I204" i="1"/>
  <c r="I200" i="1"/>
  <c r="I196" i="1"/>
  <c r="I192" i="1"/>
  <c r="I188" i="1"/>
  <c r="I184" i="1"/>
  <c r="I180" i="1"/>
  <c r="I176" i="1"/>
  <c r="I172" i="1"/>
  <c r="I168" i="1"/>
  <c r="I164" i="1"/>
  <c r="I160" i="1"/>
  <c r="I156" i="1"/>
  <c r="I152" i="1"/>
  <c r="I148" i="1"/>
  <c r="I144" i="1"/>
  <c r="I140" i="1"/>
  <c r="I136" i="1"/>
  <c r="I132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259" i="1"/>
  <c r="I255" i="1"/>
  <c r="I251" i="1"/>
  <c r="I247" i="1"/>
  <c r="I243" i="1"/>
  <c r="I239" i="1"/>
  <c r="I235" i="1"/>
  <c r="I231" i="1"/>
  <c r="I227" i="1"/>
  <c r="I223" i="1"/>
  <c r="I219" i="1"/>
  <c r="I215" i="1"/>
  <c r="I211" i="1"/>
  <c r="I207" i="1"/>
  <c r="I203" i="1"/>
  <c r="I199" i="1"/>
  <c r="I195" i="1"/>
  <c r="I191" i="1"/>
  <c r="I187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258" i="1"/>
  <c r="I254" i="1"/>
  <c r="I250" i="1"/>
  <c r="I246" i="1"/>
  <c r="I242" i="1"/>
  <c r="I238" i="1"/>
  <c r="I234" i="1"/>
  <c r="I230" i="1"/>
  <c r="I226" i="1"/>
  <c r="I222" i="1"/>
  <c r="I218" i="1"/>
  <c r="I214" i="1"/>
  <c r="I210" i="1"/>
  <c r="I206" i="1"/>
  <c r="I202" i="1"/>
  <c r="I198" i="1"/>
  <c r="I194" i="1"/>
  <c r="I190" i="1"/>
  <c r="I186" i="1"/>
  <c r="I182" i="1"/>
  <c r="I178" i="1"/>
  <c r="I174" i="1"/>
  <c r="I170" i="1"/>
  <c r="I166" i="1"/>
  <c r="I162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257" i="1"/>
  <c r="I253" i="1"/>
  <c r="I249" i="1"/>
  <c r="I245" i="1"/>
  <c r="I241" i="1"/>
  <c r="I237" i="1"/>
  <c r="I233" i="1"/>
  <c r="I229" i="1"/>
  <c r="I225" i="1"/>
  <c r="I221" i="1"/>
  <c r="I217" i="1"/>
  <c r="I213" i="1"/>
  <c r="I209" i="1"/>
  <c r="I205" i="1"/>
  <c r="I201" i="1"/>
  <c r="I197" i="1"/>
  <c r="I193" i="1"/>
  <c r="I189" i="1"/>
  <c r="I185" i="1"/>
  <c r="I181" i="1"/>
  <c r="I177" i="1"/>
  <c r="I173" i="1"/>
  <c r="I169" i="1"/>
  <c r="I165" i="1"/>
  <c r="I161" i="1"/>
  <c r="I157" i="1"/>
  <c r="I153" i="1"/>
  <c r="I149" i="1"/>
  <c r="I145" i="1"/>
  <c r="I141" i="1"/>
  <c r="I137" i="1"/>
  <c r="I133" i="1"/>
  <c r="I129" i="1"/>
  <c r="I125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I4" i="1"/>
  <c r="AA164" i="1" l="1"/>
  <c r="AA133" i="1"/>
  <c r="AA197" i="1"/>
  <c r="AA6" i="1"/>
  <c r="AA70" i="1"/>
  <c r="AA102" i="1"/>
  <c r="AA134" i="1"/>
  <c r="AA198" i="1"/>
  <c r="AA230" i="1"/>
  <c r="AA7" i="1"/>
  <c r="AA39" i="1"/>
  <c r="AA71" i="1"/>
  <c r="AA103" i="1"/>
  <c r="AA135" i="1"/>
  <c r="AA167" i="1"/>
  <c r="AA199" i="1"/>
  <c r="AA231" i="1"/>
  <c r="AA8" i="1"/>
  <c r="AA72" i="1"/>
  <c r="AA104" i="1"/>
  <c r="AA136" i="1"/>
  <c r="AA168" i="1"/>
  <c r="AA200" i="1"/>
  <c r="AA232" i="1"/>
  <c r="AA41" i="1"/>
  <c r="AA137" i="1"/>
  <c r="AA201" i="1"/>
  <c r="AA10" i="1"/>
  <c r="AA74" i="1"/>
  <c r="AA138" i="1"/>
  <c r="AA202" i="1"/>
  <c r="AA11" i="1"/>
  <c r="AA75" i="1"/>
  <c r="AA139" i="1"/>
  <c r="AA235" i="1"/>
  <c r="AA44" i="1"/>
  <c r="AA108" i="1"/>
  <c r="AA172" i="1"/>
  <c r="AA236" i="1"/>
  <c r="AA13" i="1"/>
  <c r="AA45" i="1"/>
  <c r="AA77" i="1"/>
  <c r="AA109" i="1"/>
  <c r="AA141" i="1"/>
  <c r="AA173" i="1"/>
  <c r="AA205" i="1"/>
  <c r="AA237" i="1"/>
  <c r="AA14" i="1"/>
  <c r="AA46" i="1"/>
  <c r="AA78" i="1"/>
  <c r="AA110" i="1"/>
  <c r="AA142" i="1"/>
  <c r="AA174" i="1"/>
  <c r="AA206" i="1"/>
  <c r="AA238" i="1"/>
  <c r="AA15" i="1"/>
  <c r="AA47" i="1"/>
  <c r="AA79" i="1"/>
  <c r="AA111" i="1"/>
  <c r="AA143" i="1"/>
  <c r="AA175" i="1"/>
  <c r="AA207" i="1"/>
  <c r="AA239" i="1"/>
  <c r="AA48" i="1"/>
  <c r="AA80" i="1"/>
  <c r="AA112" i="1"/>
  <c r="AA144" i="1"/>
  <c r="AA176" i="1"/>
  <c r="AA208" i="1"/>
  <c r="AA240" i="1"/>
  <c r="M4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AC4" i="1"/>
  <c r="AA132" i="1"/>
  <c r="AA5" i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 s="1"/>
  <c r="AC210" i="1" s="1"/>
  <c r="AC211" i="1" s="1"/>
  <c r="AC212" i="1" s="1"/>
  <c r="AC213" i="1" s="1"/>
  <c r="AC214" i="1" s="1"/>
  <c r="AC215" i="1" s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A37" i="1"/>
  <c r="AA69" i="1"/>
  <c r="AA101" i="1"/>
  <c r="AA165" i="1"/>
  <c r="AA229" i="1"/>
  <c r="AA38" i="1"/>
  <c r="AA166" i="1"/>
  <c r="AA40" i="1"/>
  <c r="AA9" i="1"/>
  <c r="AA105" i="1"/>
  <c r="AA169" i="1"/>
  <c r="AA233" i="1"/>
  <c r="AA42" i="1"/>
  <c r="AA106" i="1"/>
  <c r="AA170" i="1"/>
  <c r="AA234" i="1"/>
  <c r="AA43" i="1"/>
  <c r="AA107" i="1"/>
  <c r="AA171" i="1"/>
  <c r="AA12" i="1"/>
  <c r="AA76" i="1"/>
  <c r="AA140" i="1"/>
  <c r="AA204" i="1"/>
  <c r="AA17" i="1"/>
  <c r="AA49" i="1"/>
  <c r="AA81" i="1"/>
  <c r="AA113" i="1"/>
  <c r="AA145" i="1"/>
  <c r="AA177" i="1"/>
  <c r="AA209" i="1"/>
  <c r="AA241" i="1"/>
  <c r="AA18" i="1"/>
  <c r="AA50" i="1"/>
  <c r="AA82" i="1"/>
  <c r="AA114" i="1"/>
  <c r="AA146" i="1"/>
  <c r="AA178" i="1"/>
  <c r="AA210" i="1"/>
  <c r="AA242" i="1"/>
  <c r="AA19" i="1"/>
  <c r="AA51" i="1"/>
  <c r="AA83" i="1"/>
  <c r="AA115" i="1"/>
  <c r="AA147" i="1"/>
  <c r="AA179" i="1"/>
  <c r="AA211" i="1"/>
  <c r="AA243" i="1"/>
  <c r="AA20" i="1"/>
  <c r="AA52" i="1"/>
  <c r="AA84" i="1"/>
  <c r="AA116" i="1"/>
  <c r="AA148" i="1"/>
  <c r="AA180" i="1"/>
  <c r="AA212" i="1"/>
  <c r="AA244" i="1"/>
  <c r="AA73" i="1"/>
  <c r="AA203" i="1"/>
  <c r="AA21" i="1"/>
  <c r="AA53" i="1"/>
  <c r="AA85" i="1"/>
  <c r="AA117" i="1"/>
  <c r="AA149" i="1"/>
  <c r="AA181" i="1"/>
  <c r="AA213" i="1"/>
  <c r="AA245" i="1"/>
  <c r="AA22" i="1"/>
  <c r="AA54" i="1"/>
  <c r="AA86" i="1"/>
  <c r="AA118" i="1"/>
  <c r="AA150" i="1"/>
  <c r="AA182" i="1"/>
  <c r="AA214" i="1"/>
  <c r="AA246" i="1"/>
  <c r="AA23" i="1"/>
  <c r="AA55" i="1"/>
  <c r="AA87" i="1"/>
  <c r="AA119" i="1"/>
  <c r="AA151" i="1"/>
  <c r="AA183" i="1"/>
  <c r="AA215" i="1"/>
  <c r="AA247" i="1"/>
  <c r="AA24" i="1"/>
  <c r="AA56" i="1"/>
  <c r="AA88" i="1"/>
  <c r="AA120" i="1"/>
  <c r="AA152" i="1"/>
  <c r="AA184" i="1"/>
  <c r="AA216" i="1"/>
  <c r="AA24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<sst xmlns="http://schemas.openxmlformats.org/spreadsheetml/2006/main" count="16" uniqueCount="16">
  <si>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Date</t>
  </si>
  <si>
    <t>Prix action</t>
  </si>
  <si>
    <t>Pour questions 4 et 5 uniquement</t>
  </si>
  <si>
    <t>Prix option strike 6</t>
  </si>
  <si>
    <t>Prix option strike 6,5</t>
  </si>
  <si>
    <t>Diff jours</t>
  </si>
  <si>
    <t>prix call eur</t>
  </si>
  <si>
    <t>Delta</t>
  </si>
  <si>
    <t>prix call eur 2</t>
  </si>
  <si>
    <t>Delta 2</t>
  </si>
  <si>
    <t>Gamma</t>
  </si>
  <si>
    <t>Gamma 2</t>
  </si>
  <si>
    <t>PORT1</t>
  </si>
  <si>
    <t>nc</t>
  </si>
  <si>
    <t>ns</t>
  </si>
  <si>
    <t>PORT2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</si>
</sst>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 wrapText="1"/>
    </xf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0" fontId="0" fillId="2" borderId="0" xfId="0" applyFill="1"/>
    <xf numFmtId="0" fontId="0" fillId="2" borderId="0" xfId="0" applyFill="1" applyAlignment="1">
      <alignment horizontal="center" vertical="center" wrapText="1"/>
    </xf>
    <xf numFmtId="164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horizontal="center"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'TD3'!$M$4:$M$260</c:f>
              <c:numCache>
                <c:formatCode>General</c:formatCode>
                <c:ptCount val="257"/>
                <c:pt idx="0" formatCode="0.00">
                  <c:v>1.0124597482576876</c:v>
                </c:pt>
                <c:pt idx="1">
                  <c:v>1.1694185314113072</c:v>
                </c:pt>
                <c:pt idx="2">
                  <c:v>1.1342984303882149</c:v>
                </c:pt>
                <c:pt idx="3">
                  <c:v>1.2084025195490344</c:v>
                </c:pt>
                <c:pt idx="4">
                  <c:v>1.2036602278052373</c:v>
                </c:pt>
                <c:pt idx="5">
                  <c:v>1.1641873290185565</c:v>
                </c:pt>
                <c:pt idx="6">
                  <c:v>1.0908132668920325</c:v>
                </c:pt>
                <c:pt idx="7">
                  <c:v>1.0443222439326347</c:v>
                </c:pt>
                <c:pt idx="8">
                  <c:v>1.0060906352298222</c:v>
                </c:pt>
                <c:pt idx="9">
                  <c:v>0.87088442678680034</c:v>
                </c:pt>
                <c:pt idx="10">
                  <c:v>0.89666971771170723</c:v>
                </c:pt>
                <c:pt idx="11">
                  <c:v>0.90726153168605295</c:v>
                </c:pt>
                <c:pt idx="12">
                  <c:v>0.94133184194296515</c:v>
                </c:pt>
                <c:pt idx="13">
                  <c:v>0.91392959626235093</c:v>
                </c:pt>
                <c:pt idx="14">
                  <c:v>1.0663863106221032</c:v>
                </c:pt>
                <c:pt idx="15">
                  <c:v>1.0420677478407812</c:v>
                </c:pt>
                <c:pt idx="16">
                  <c:v>1.1377936420227646</c:v>
                </c:pt>
                <c:pt idx="17">
                  <c:v>1.0730644429708573</c:v>
                </c:pt>
                <c:pt idx="18">
                  <c:v>1.041004867979868</c:v>
                </c:pt>
                <c:pt idx="19">
                  <c:v>1.0659094955321953</c:v>
                </c:pt>
                <c:pt idx="20">
                  <c:v>1.0453406276338522</c:v>
                </c:pt>
                <c:pt idx="21">
                  <c:v>0.9840513924299692</c:v>
                </c:pt>
                <c:pt idx="22">
                  <c:v>1.0040090642016306</c:v>
                </c:pt>
                <c:pt idx="23">
                  <c:v>0.99953712514972792</c:v>
                </c:pt>
                <c:pt idx="24">
                  <c:v>0.97721209425118716</c:v>
                </c:pt>
                <c:pt idx="25">
                  <c:v>0.90934913151601648</c:v>
                </c:pt>
                <c:pt idx="26">
                  <c:v>0.89429630137324589</c:v>
                </c:pt>
                <c:pt idx="27">
                  <c:v>1.0046433000079076</c:v>
                </c:pt>
                <c:pt idx="28">
                  <c:v>0.89246767413838934</c:v>
                </c:pt>
                <c:pt idx="29">
                  <c:v>0.91244296546478254</c:v>
                </c:pt>
                <c:pt idx="30">
                  <c:v>0.8188116572286972</c:v>
                </c:pt>
                <c:pt idx="31">
                  <c:v>0.76716357111081446</c:v>
                </c:pt>
                <c:pt idx="32">
                  <c:v>0.7785407594400946</c:v>
                </c:pt>
                <c:pt idx="33">
                  <c:v>0.83716456989670152</c:v>
                </c:pt>
                <c:pt idx="34">
                  <c:v>0.83089725789115287</c:v>
                </c:pt>
                <c:pt idx="35">
                  <c:v>0.78924402705898133</c:v>
                </c:pt>
                <c:pt idx="36">
                  <c:v>0.83881879236747259</c:v>
                </c:pt>
                <c:pt idx="37">
                  <c:v>0.80810541411508297</c:v>
                </c:pt>
                <c:pt idx="38">
                  <c:v>0.81634818365018813</c:v>
                </c:pt>
                <c:pt idx="39">
                  <c:v>0.87086771472323976</c:v>
                </c:pt>
                <c:pt idx="40">
                  <c:v>0.82470444561836387</c:v>
                </c:pt>
                <c:pt idx="41">
                  <c:v>0.80387738000941633</c:v>
                </c:pt>
                <c:pt idx="42">
                  <c:v>0.93295659612380133</c:v>
                </c:pt>
                <c:pt idx="43">
                  <c:v>1.0239051749756962</c:v>
                </c:pt>
                <c:pt idx="44">
                  <c:v>0.90506771726206958</c:v>
                </c:pt>
                <c:pt idx="45">
                  <c:v>1.0248868559410558</c:v>
                </c:pt>
                <c:pt idx="46">
                  <c:v>0.94690406842058217</c:v>
                </c:pt>
                <c:pt idx="47">
                  <c:v>0.87643558187184467</c:v>
                </c:pt>
                <c:pt idx="48">
                  <c:v>0.98000145149476492</c:v>
                </c:pt>
                <c:pt idx="49">
                  <c:v>0.9513730546293494</c:v>
                </c:pt>
                <c:pt idx="50">
                  <c:v>0.99532098177923356</c:v>
                </c:pt>
                <c:pt idx="51">
                  <c:v>1.0104987479830947</c:v>
                </c:pt>
                <c:pt idx="52">
                  <c:v>0.84252089723965318</c:v>
                </c:pt>
                <c:pt idx="53">
                  <c:v>0.84109772104079805</c:v>
                </c:pt>
                <c:pt idx="54">
                  <c:v>0.87737091206331763</c:v>
                </c:pt>
                <c:pt idx="55">
                  <c:v>0.96354525038762284</c:v>
                </c:pt>
                <c:pt idx="56">
                  <c:v>0.90104251850817496</c:v>
                </c:pt>
                <c:pt idx="57">
                  <c:v>0.86509325485807465</c:v>
                </c:pt>
                <c:pt idx="58">
                  <c:v>0.95026424998550363</c:v>
                </c:pt>
                <c:pt idx="59">
                  <c:v>0.90523948935599663</c:v>
                </c:pt>
                <c:pt idx="60">
                  <c:v>0.88093857753589699</c:v>
                </c:pt>
                <c:pt idx="61">
                  <c:v>0.87145834373994679</c:v>
                </c:pt>
                <c:pt idx="62">
                  <c:v>0.84313665661455905</c:v>
                </c:pt>
                <c:pt idx="63">
                  <c:v>0.90045735955085549</c:v>
                </c:pt>
                <c:pt idx="64">
                  <c:v>0.89750822703651656</c:v>
                </c:pt>
                <c:pt idx="65">
                  <c:v>1.0713216037372115</c:v>
                </c:pt>
                <c:pt idx="66">
                  <c:v>1.0555128154353091</c:v>
                </c:pt>
                <c:pt idx="67">
                  <c:v>1.0649503241894795</c:v>
                </c:pt>
                <c:pt idx="68">
                  <c:v>1.1391851994550706</c:v>
                </c:pt>
                <c:pt idx="69">
                  <c:v>1.1764071633331283</c:v>
                </c:pt>
                <c:pt idx="70">
                  <c:v>1.2336907015275878</c:v>
                </c:pt>
                <c:pt idx="71">
                  <c:v>1.2370168737615004</c:v>
                </c:pt>
                <c:pt idx="72">
                  <c:v>1.24367713325153</c:v>
                </c:pt>
                <c:pt idx="73">
                  <c:v>1.2420075653255132</c:v>
                </c:pt>
                <c:pt idx="74">
                  <c:v>1.3004368249994298</c:v>
                </c:pt>
                <c:pt idx="75">
                  <c:v>1.3834540222229239</c:v>
                </c:pt>
                <c:pt idx="76">
                  <c:v>1.336841904109362</c:v>
                </c:pt>
                <c:pt idx="77">
                  <c:v>1.4702125692002226</c:v>
                </c:pt>
                <c:pt idx="78">
                  <c:v>1.5018686613474899</c:v>
                </c:pt>
                <c:pt idx="79">
                  <c:v>1.4346404916500319</c:v>
                </c:pt>
                <c:pt idx="80">
                  <c:v>1.4818471781286577</c:v>
                </c:pt>
                <c:pt idx="81">
                  <c:v>1.4659685444297146</c:v>
                </c:pt>
                <c:pt idx="82">
                  <c:v>1.4466101611434208</c:v>
                </c:pt>
                <c:pt idx="83">
                  <c:v>1.397460282854331</c:v>
                </c:pt>
                <c:pt idx="84">
                  <c:v>1.4200729457107995</c:v>
                </c:pt>
                <c:pt idx="85">
                  <c:v>1.458524504951688</c:v>
                </c:pt>
                <c:pt idx="86">
                  <c:v>1.3792746503339812</c:v>
                </c:pt>
                <c:pt idx="87">
                  <c:v>1.254346942969192</c:v>
                </c:pt>
                <c:pt idx="88">
                  <c:v>0.98403960569672555</c:v>
                </c:pt>
                <c:pt idx="89">
                  <c:v>1.2134776040306514</c:v>
                </c:pt>
                <c:pt idx="90">
                  <c:v>1.1680807805733011</c:v>
                </c:pt>
                <c:pt idx="91">
                  <c:v>1.0833165031460439</c:v>
                </c:pt>
                <c:pt idx="92">
                  <c:v>1.1903948999272669</c:v>
                </c:pt>
                <c:pt idx="93">
                  <c:v>1.1652602870184434</c:v>
                </c:pt>
                <c:pt idx="94">
                  <c:v>1.1685903818401431</c:v>
                </c:pt>
                <c:pt idx="95">
                  <c:v>1.1335798899241576</c:v>
                </c:pt>
                <c:pt idx="96">
                  <c:v>1.1732191779707171</c:v>
                </c:pt>
                <c:pt idx="97">
                  <c:v>1.2534103031807191</c:v>
                </c:pt>
                <c:pt idx="98">
                  <c:v>1.1612284203672705</c:v>
                </c:pt>
                <c:pt idx="99">
                  <c:v>1.1712399673650915</c:v>
                </c:pt>
                <c:pt idx="100">
                  <c:v>1.1980200171315243</c:v>
                </c:pt>
                <c:pt idx="101">
                  <c:v>1.1558637516380847</c:v>
                </c:pt>
                <c:pt idx="102">
                  <c:v>1.0991455562922843</c:v>
                </c:pt>
                <c:pt idx="103">
                  <c:v>1.1714484064094419</c:v>
                </c:pt>
                <c:pt idx="104">
                  <c:v>1.1915881624398774</c:v>
                </c:pt>
                <c:pt idx="105">
                  <c:v>1.1139451871882051</c:v>
                </c:pt>
                <c:pt idx="106">
                  <c:v>0.87753692213780576</c:v>
                </c:pt>
                <c:pt idx="107">
                  <c:v>0.89125870493203729</c:v>
                </c:pt>
                <c:pt idx="108">
                  <c:v>0.93117693243567012</c:v>
                </c:pt>
                <c:pt idx="109">
                  <c:v>0.94835167616243865</c:v>
                </c:pt>
                <c:pt idx="110">
                  <c:v>1.0206823342376636</c:v>
                </c:pt>
                <c:pt idx="111">
                  <c:v>1.0077630616153648</c:v>
                </c:pt>
                <c:pt idx="112">
                  <c:v>1.0367156088086882</c:v>
                </c:pt>
                <c:pt idx="113">
                  <c:v>1.0415941359155922</c:v>
                </c:pt>
                <c:pt idx="114">
                  <c:v>1.0171529304761806</c:v>
                </c:pt>
                <c:pt idx="115">
                  <c:v>1.0026000590624571</c:v>
                </c:pt>
                <c:pt idx="116">
                  <c:v>1.0235250849056918</c:v>
                </c:pt>
                <c:pt idx="117">
                  <c:v>0.98135794197338022</c:v>
                </c:pt>
                <c:pt idx="118">
                  <c:v>1.053375437996467</c:v>
                </c:pt>
                <c:pt idx="119">
                  <c:v>1.0500935946222272</c:v>
                </c:pt>
                <c:pt idx="120">
                  <c:v>0.88610426505736883</c:v>
                </c:pt>
                <c:pt idx="121">
                  <c:v>0.82885676489792459</c:v>
                </c:pt>
                <c:pt idx="122">
                  <c:v>0.79414327798337092</c:v>
                </c:pt>
                <c:pt idx="123">
                  <c:v>0.8922100128111996</c:v>
                </c:pt>
                <c:pt idx="124">
                  <c:v>0.83773654871965397</c:v>
                </c:pt>
                <c:pt idx="125">
                  <c:v>0.81644617889740678</c:v>
                </c:pt>
                <c:pt idx="126">
                  <c:v>0.81042114762964279</c:v>
                </c:pt>
                <c:pt idx="127">
                  <c:v>0.64790149335746028</c:v>
                </c:pt>
                <c:pt idx="128">
                  <c:v>0.79660282384042391</c:v>
                </c:pt>
                <c:pt idx="129">
                  <c:v>0.72582071207376408</c:v>
                </c:pt>
                <c:pt idx="130">
                  <c:v>0.79555636064562674</c:v>
                </c:pt>
                <c:pt idx="131">
                  <c:v>0.83027560671076894</c:v>
                </c:pt>
                <c:pt idx="132">
                  <c:v>0.73048693514210516</c:v>
                </c:pt>
                <c:pt idx="133">
                  <c:v>0.82409609361126002</c:v>
                </c:pt>
                <c:pt idx="134">
                  <c:v>0.78724562917294894</c:v>
                </c:pt>
                <c:pt idx="135">
                  <c:v>0.78422606033722808</c:v>
                </c:pt>
                <c:pt idx="136">
                  <c:v>0.77667891118822829</c:v>
                </c:pt>
                <c:pt idx="137">
                  <c:v>0.74207735971831212</c:v>
                </c:pt>
                <c:pt idx="138">
                  <c:v>0.7953023100394836</c:v>
                </c:pt>
                <c:pt idx="139">
                  <c:v>0.74361160921523151</c:v>
                </c:pt>
                <c:pt idx="140">
                  <c:v>0.80141068962819761</c:v>
                </c:pt>
                <c:pt idx="141">
                  <c:v>0.85490959833670643</c:v>
                </c:pt>
                <c:pt idx="142">
                  <c:v>0.79066047183078381</c:v>
                </c:pt>
                <c:pt idx="143">
                  <c:v>0.8378793015862499</c:v>
                </c:pt>
                <c:pt idx="144">
                  <c:v>0.85968985469580939</c:v>
                </c:pt>
                <c:pt idx="145">
                  <c:v>0.9100397823971087</c:v>
                </c:pt>
                <c:pt idx="146">
                  <c:v>1.0001046970744216</c:v>
                </c:pt>
                <c:pt idx="147">
                  <c:v>0.89369808734327694</c:v>
                </c:pt>
                <c:pt idx="148">
                  <c:v>0.92735399687025999</c:v>
                </c:pt>
                <c:pt idx="149">
                  <c:v>0.94846896284474747</c:v>
                </c:pt>
                <c:pt idx="150">
                  <c:v>0.89601594685255614</c:v>
                </c:pt>
                <c:pt idx="151">
                  <c:v>0.90888535260402792</c:v>
                </c:pt>
                <c:pt idx="152">
                  <c:v>0.98490801254579696</c:v>
                </c:pt>
                <c:pt idx="153">
                  <c:v>1.0098534682187341</c:v>
                </c:pt>
                <c:pt idx="154">
                  <c:v>0.95282517836418423</c:v>
                </c:pt>
                <c:pt idx="155">
                  <c:v>0.9610695582312847</c:v>
                </c:pt>
                <c:pt idx="156">
                  <c:v>0.87503831583711755</c:v>
                </c:pt>
                <c:pt idx="157">
                  <c:v>0.91353502890986271</c:v>
                </c:pt>
                <c:pt idx="158">
                  <c:v>1.0829729545281903</c:v>
                </c:pt>
                <c:pt idx="159">
                  <c:v>1.1105398698211897</c:v>
                </c:pt>
                <c:pt idx="160">
                  <c:v>1.1991871712291458</c:v>
                </c:pt>
                <c:pt idx="161">
                  <c:v>1.0890754637348841</c:v>
                </c:pt>
                <c:pt idx="162">
                  <c:v>1.0648348872277491</c:v>
                </c:pt>
                <c:pt idx="163">
                  <c:v>1.0080354362858353</c:v>
                </c:pt>
                <c:pt idx="164">
                  <c:v>0.68103944695431551</c:v>
                </c:pt>
                <c:pt idx="165">
                  <c:v>0.4470234618125184</c:v>
                </c:pt>
                <c:pt idx="166">
                  <c:v>0.45336266952600923</c:v>
                </c:pt>
                <c:pt idx="167">
                  <c:v>0.41380687749806677</c:v>
                </c:pt>
                <c:pt idx="168">
                  <c:v>0.47025332385950808</c:v>
                </c:pt>
                <c:pt idx="169">
                  <c:v>0.46505327258579487</c:v>
                </c:pt>
                <c:pt idx="170">
                  <c:v>0.42749767174829834</c:v>
                </c:pt>
                <c:pt idx="171">
                  <c:v>0.45123645067796503</c:v>
                </c:pt>
                <c:pt idx="172">
                  <c:v>0.501159896309466</c:v>
                </c:pt>
                <c:pt idx="173">
                  <c:v>0.46093045055664539</c:v>
                </c:pt>
                <c:pt idx="174">
                  <c:v>0.56842210925855219</c:v>
                </c:pt>
                <c:pt idx="175">
                  <c:v>0.55420904901596246</c:v>
                </c:pt>
                <c:pt idx="176">
                  <c:v>0.52042580975743058</c:v>
                </c:pt>
                <c:pt idx="177">
                  <c:v>0.52866338984450245</c:v>
                </c:pt>
                <c:pt idx="178">
                  <c:v>0.427740990333001</c:v>
                </c:pt>
                <c:pt idx="179">
                  <c:v>0.3922096661302264</c:v>
                </c:pt>
                <c:pt idx="180">
                  <c:v>0.37385821264885666</c:v>
                </c:pt>
                <c:pt idx="181">
                  <c:v>0.37505632048066528</c:v>
                </c:pt>
                <c:pt idx="182">
                  <c:v>0.31745450195286484</c:v>
                </c:pt>
                <c:pt idx="183">
                  <c:v>0.34200253978281037</c:v>
                </c:pt>
                <c:pt idx="184">
                  <c:v>0.28078701571039993</c:v>
                </c:pt>
                <c:pt idx="185">
                  <c:v>0.28926068088844165</c:v>
                </c:pt>
                <c:pt idx="186">
                  <c:v>0.28281782979132369</c:v>
                </c:pt>
                <c:pt idx="187">
                  <c:v>0.26900381270337753</c:v>
                </c:pt>
                <c:pt idx="188">
                  <c:v>0.31987968153586011</c:v>
                </c:pt>
                <c:pt idx="189">
                  <c:v>0.2668345486964257</c:v>
                </c:pt>
                <c:pt idx="190">
                  <c:v>0.26475207387219629</c:v>
                </c:pt>
                <c:pt idx="191">
                  <c:v>0.2771991631789914</c:v>
                </c:pt>
                <c:pt idx="192">
                  <c:v>0.30687247790410022</c:v>
                </c:pt>
                <c:pt idx="193">
                  <c:v>0.29463840983210332</c:v>
                </c:pt>
                <c:pt idx="194">
                  <c:v>0.33175225793106494</c:v>
                </c:pt>
                <c:pt idx="195">
                  <c:v>0.32366617436937345</c:v>
                </c:pt>
                <c:pt idx="196">
                  <c:v>0.29282537495871791</c:v>
                </c:pt>
                <c:pt idx="197">
                  <c:v>0.29937326427483724</c:v>
                </c:pt>
                <c:pt idx="198">
                  <c:v>0.28834610949898898</c:v>
                </c:pt>
                <c:pt idx="199">
                  <c:v>0.27209317022275464</c:v>
                </c:pt>
                <c:pt idx="200">
                  <c:v>0.24890319506306055</c:v>
                </c:pt>
                <c:pt idx="201">
                  <c:v>0.25597710738438101</c:v>
                </c:pt>
                <c:pt idx="202">
                  <c:v>0.25188049950181113</c:v>
                </c:pt>
                <c:pt idx="203">
                  <c:v>0.21632238689756944</c:v>
                </c:pt>
                <c:pt idx="204">
                  <c:v>0.20403191762933681</c:v>
                </c:pt>
                <c:pt idx="205">
                  <c:v>0.28201657682219083</c:v>
                </c:pt>
                <c:pt idx="206">
                  <c:v>0.26242018292879754</c:v>
                </c:pt>
                <c:pt idx="207">
                  <c:v>0.25084132810277243</c:v>
                </c:pt>
                <c:pt idx="208">
                  <c:v>0.27968733015053998</c:v>
                </c:pt>
                <c:pt idx="209">
                  <c:v>0.30250448013133102</c:v>
                </c:pt>
                <c:pt idx="210">
                  <c:v>0.34426167480741621</c:v>
                </c:pt>
                <c:pt idx="211">
                  <c:v>0.30100352051642693</c:v>
                </c:pt>
                <c:pt idx="212">
                  <c:v>0.27725782195037435</c:v>
                </c:pt>
                <c:pt idx="213">
                  <c:v>0.32405225831066264</c:v>
                </c:pt>
                <c:pt idx="214">
                  <c:v>0.27705263649869755</c:v>
                </c:pt>
                <c:pt idx="215">
                  <c:v>0.35474551357509387</c:v>
                </c:pt>
                <c:pt idx="216">
                  <c:v>0.35722027607836593</c:v>
                </c:pt>
                <c:pt idx="217">
                  <c:v>0.3385940410156254</c:v>
                </c:pt>
                <c:pt idx="218">
                  <c:v>0.2537102115822828</c:v>
                </c:pt>
                <c:pt idx="219">
                  <c:v>0.19812492537353299</c:v>
                </c:pt>
                <c:pt idx="220">
                  <c:v>0.18760409508623122</c:v>
                </c:pt>
                <c:pt idx="221">
                  <c:v>0.1531239370892043</c:v>
                </c:pt>
                <c:pt idx="222">
                  <c:v>0.16672555936371974</c:v>
                </c:pt>
                <c:pt idx="223">
                  <c:v>0.14196160247345696</c:v>
                </c:pt>
                <c:pt idx="224">
                  <c:v>0.16908355871285713</c:v>
                </c:pt>
                <c:pt idx="225">
                  <c:v>0.16997601431311363</c:v>
                </c:pt>
                <c:pt idx="226">
                  <c:v>0.19053651053293336</c:v>
                </c:pt>
                <c:pt idx="227">
                  <c:v>0.18108705510413958</c:v>
                </c:pt>
                <c:pt idx="228">
                  <c:v>0.1912266552872825</c:v>
                </c:pt>
                <c:pt idx="229">
                  <c:v>0.2092016695810405</c:v>
                </c:pt>
                <c:pt idx="230">
                  <c:v>0.20031168387464823</c:v>
                </c:pt>
                <c:pt idx="231">
                  <c:v>0.16261032216842072</c:v>
                </c:pt>
                <c:pt idx="232">
                  <c:v>0.1363285661414487</c:v>
                </c:pt>
                <c:pt idx="233">
                  <c:v>0.11940661131292046</c:v>
                </c:pt>
                <c:pt idx="234">
                  <c:v>0.12923934196360909</c:v>
                </c:pt>
                <c:pt idx="235">
                  <c:v>0.13315178040526163</c:v>
                </c:pt>
                <c:pt idx="236">
                  <c:v>0.15138901907293484</c:v>
                </c:pt>
                <c:pt idx="237">
                  <c:v>0.13954460301110214</c:v>
                </c:pt>
                <c:pt idx="238">
                  <c:v>0.11032226148672161</c:v>
                </c:pt>
                <c:pt idx="239">
                  <c:v>0.12846369874190827</c:v>
                </c:pt>
                <c:pt idx="240">
                  <c:v>0.13314670564374703</c:v>
                </c:pt>
                <c:pt idx="241">
                  <c:v>0.1260041579613948</c:v>
                </c:pt>
                <c:pt idx="242">
                  <c:v>0.19458400955620492</c:v>
                </c:pt>
                <c:pt idx="243">
                  <c:v>0.14323829319154577</c:v>
                </c:pt>
                <c:pt idx="244">
                  <c:v>0.15697380782535805</c:v>
                </c:pt>
                <c:pt idx="245">
                  <c:v>0.19816019199278015</c:v>
                </c:pt>
                <c:pt idx="246">
                  <c:v>0.22745405683516248</c:v>
                </c:pt>
                <c:pt idx="247">
                  <c:v>0.23394717190899833</c:v>
                </c:pt>
                <c:pt idx="248">
                  <c:v>0.27234491696201901</c:v>
                </c:pt>
                <c:pt idx="249">
                  <c:v>0.24395104353881275</c:v>
                </c:pt>
                <c:pt idx="250">
                  <c:v>0.24732620962035756</c:v>
                </c:pt>
                <c:pt idx="251">
                  <c:v>0.23033383989633233</c:v>
                </c:pt>
                <c:pt idx="252">
                  <c:v>0.22266914045519592</c:v>
                </c:pt>
                <c:pt idx="253">
                  <c:v>0.12358575917317162</c:v>
                </c:pt>
                <c:pt idx="254">
                  <c:v>7.3509956418629063E-2</c:v>
                </c:pt>
                <c:pt idx="255">
                  <c:v>6.2063952465701101E-2</c:v>
                </c:pt>
                <c:pt idx="256">
                  <c:v>7.3368420592447511E-2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C-490F-AEF5-79E482D88FB0}"/>
            </c:ext>
          </c:extLst>
        </c:ser>
        <c:ser>
          <c:idx val="1"/>
          <c:order val="1"/>
          <c:tx>
            <c:v>serie2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'TD3'!$I$4:$I$260</c:f>
              <c:numCache>
                <c:formatCode>0.00</c:formatCode>
                <c:ptCount val="257"/>
                <c:pt idx="0">
                  <c:v>1.0124597482576876</c:v>
                </c:pt>
                <c:pt idx="1">
                  <c:v>1.1736318286956573</c:v>
                </c:pt>
                <c:pt idx="2">
                  <c:v>1.1381932005639088</c:v>
                </c:pt>
                <c:pt idx="3">
                  <c:v>1.2126872613515687</c:v>
                </c:pt>
                <c:pt idx="4">
                  <c:v>1.2074504586409462</c:v>
                </c:pt>
                <c:pt idx="5">
                  <c:v>1.1666890235002993</c:v>
                </c:pt>
                <c:pt idx="6">
                  <c:v>1.0936555064747644</c:v>
                </c:pt>
                <c:pt idx="7">
                  <c:v>1.0470131475377569</c:v>
                </c:pt>
                <c:pt idx="8">
                  <c:v>1.008515823633636</c:v>
                </c:pt>
                <c:pt idx="9">
                  <c:v>0.87652422038619404</c:v>
                </c:pt>
                <c:pt idx="10">
                  <c:v>0.90077677085582541</c:v>
                </c:pt>
                <c:pt idx="11">
                  <c:v>0.91083044983182049</c:v>
                </c:pt>
                <c:pt idx="12">
                  <c:v>0.94461126558264263</c:v>
                </c:pt>
                <c:pt idx="13">
                  <c:v>0.91681169530527562</c:v>
                </c:pt>
                <c:pt idx="14">
                  <c:v>1.0739091092484543</c:v>
                </c:pt>
                <c:pt idx="15">
                  <c:v>1.0480826388693592</c:v>
                </c:pt>
                <c:pt idx="16">
                  <c:v>1.1449610421206726</c:v>
                </c:pt>
                <c:pt idx="17">
                  <c:v>1.0803878468829948</c:v>
                </c:pt>
                <c:pt idx="18">
                  <c:v>1.0479727912609214</c:v>
                </c:pt>
                <c:pt idx="19">
                  <c:v>1.0724581074008315</c:v>
                </c:pt>
                <c:pt idx="20">
                  <c:v>1.0503459627187475</c:v>
                </c:pt>
                <c:pt idx="21">
                  <c:v>0.9892111248872788</c:v>
                </c:pt>
                <c:pt idx="22">
                  <c:v>1.0086993201098355</c:v>
                </c:pt>
                <c:pt idx="23">
                  <c:v>1.0036794225032786</c:v>
                </c:pt>
                <c:pt idx="24">
                  <c:v>0.98089709724959073</c:v>
                </c:pt>
                <c:pt idx="25">
                  <c:v>0.91228676549888776</c:v>
                </c:pt>
                <c:pt idx="26">
                  <c:v>0.89671010387020855</c:v>
                </c:pt>
                <c:pt idx="27">
                  <c:v>1.0093162664322923</c:v>
                </c:pt>
                <c:pt idx="28">
                  <c:v>0.89911944665271459</c:v>
                </c:pt>
                <c:pt idx="29">
                  <c:v>0.91861525274058131</c:v>
                </c:pt>
                <c:pt idx="30">
                  <c:v>0.82526099987301027</c:v>
                </c:pt>
                <c:pt idx="31">
                  <c:v>0.7737379794482937</c:v>
                </c:pt>
                <c:pt idx="32">
                  <c:v>0.78455297207659402</c:v>
                </c:pt>
                <c:pt idx="33">
                  <c:v>0.84356753814523477</c:v>
                </c:pt>
                <c:pt idx="34">
                  <c:v>0.83671782054812915</c:v>
                </c:pt>
                <c:pt idx="35">
                  <c:v>0.79372255073909814</c:v>
                </c:pt>
                <c:pt idx="36">
                  <c:v>0.84339410944038695</c:v>
                </c:pt>
                <c:pt idx="37">
                  <c:v>0.81232778368999981</c:v>
                </c:pt>
                <c:pt idx="38">
                  <c:v>0.81999038550842762</c:v>
                </c:pt>
                <c:pt idx="39">
                  <c:v>0.87471430315439402</c:v>
                </c:pt>
                <c:pt idx="40">
                  <c:v>0.82728294245806122</c:v>
                </c:pt>
                <c:pt idx="41">
                  <c:v>0.80596808956298283</c:v>
                </c:pt>
                <c:pt idx="42">
                  <c:v>0.93893598928226663</c:v>
                </c:pt>
                <c:pt idx="43">
                  <c:v>1.0310964243846783</c:v>
                </c:pt>
                <c:pt idx="44">
                  <c:v>0.91442089460371045</c:v>
                </c:pt>
                <c:pt idx="45">
                  <c:v>1.0357464710072719</c:v>
                </c:pt>
                <c:pt idx="46">
                  <c:v>0.95834684048870855</c:v>
                </c:pt>
                <c:pt idx="47">
                  <c:v>0.88835639987307946</c:v>
                </c:pt>
                <c:pt idx="48">
                  <c:v>0.99383802973629454</c:v>
                </c:pt>
                <c:pt idx="49">
                  <c:v>0.9648000317219072</c:v>
                </c:pt>
                <c:pt idx="50">
                  <c:v>1.0074553337137502</c:v>
                </c:pt>
                <c:pt idx="51">
                  <c:v>1.0221171922237415</c:v>
                </c:pt>
                <c:pt idx="52">
                  <c:v>0.85914083240650774</c:v>
                </c:pt>
                <c:pt idx="53">
                  <c:v>0.85711603581833717</c:v>
                </c:pt>
                <c:pt idx="54">
                  <c:v>0.89312142576005638</c:v>
                </c:pt>
                <c:pt idx="55">
                  <c:v>0.9792796005472777</c:v>
                </c:pt>
                <c:pt idx="56">
                  <c:v>0.91699160091001719</c:v>
                </c:pt>
                <c:pt idx="57">
                  <c:v>0.8807362909917078</c:v>
                </c:pt>
                <c:pt idx="58">
                  <c:v>0.96702639945293001</c:v>
                </c:pt>
                <c:pt idx="59">
                  <c:v>0.92183480788692318</c:v>
                </c:pt>
                <c:pt idx="60">
                  <c:v>0.89467494145917037</c:v>
                </c:pt>
                <c:pt idx="61">
                  <c:v>0.88461322687246025</c:v>
                </c:pt>
                <c:pt idx="62">
                  <c:v>0.85587309218401231</c:v>
                </c:pt>
                <c:pt idx="63">
                  <c:v>0.91161254902813038</c:v>
                </c:pt>
                <c:pt idx="64">
                  <c:v>0.90806620249523728</c:v>
                </c:pt>
                <c:pt idx="65">
                  <c:v>1.0878377711133593</c:v>
                </c:pt>
                <c:pt idx="66">
                  <c:v>1.0715182688189646</c:v>
                </c:pt>
                <c:pt idx="67">
                  <c:v>1.079318918105443</c:v>
                </c:pt>
                <c:pt idx="68">
                  <c:v>1.1539382458864305</c:v>
                </c:pt>
                <c:pt idx="69">
                  <c:v>1.1908500933078452</c:v>
                </c:pt>
                <c:pt idx="70">
                  <c:v>1.2480931564089595</c:v>
                </c:pt>
                <c:pt idx="71">
                  <c:v>1.2509241450870725</c:v>
                </c:pt>
                <c:pt idx="72">
                  <c:v>1.2561057533993152</c:v>
                </c:pt>
                <c:pt idx="73">
                  <c:v>1.2539408535175038</c:v>
                </c:pt>
                <c:pt idx="74">
                  <c:v>1.3123225599072912</c:v>
                </c:pt>
                <c:pt idx="75">
                  <c:v>1.3956759516507482</c:v>
                </c:pt>
                <c:pt idx="76">
                  <c:v>1.3488282527119573</c:v>
                </c:pt>
                <c:pt idx="77">
                  <c:v>1.4828202431248263</c:v>
                </c:pt>
                <c:pt idx="78">
                  <c:v>1.5141570425547677</c:v>
                </c:pt>
                <c:pt idx="79">
                  <c:v>1.4468986852043377</c:v>
                </c:pt>
                <c:pt idx="80">
                  <c:v>1.4938988150414634</c:v>
                </c:pt>
                <c:pt idx="81">
                  <c:v>1.4776224399300384</c:v>
                </c:pt>
                <c:pt idx="82">
                  <c:v>1.4570188819730028</c:v>
                </c:pt>
                <c:pt idx="83">
                  <c:v>1.4076552573286776</c:v>
                </c:pt>
                <c:pt idx="84">
                  <c:v>1.4298835681316664</c:v>
                </c:pt>
                <c:pt idx="85">
                  <c:v>1.468054020356516</c:v>
                </c:pt>
                <c:pt idx="86">
                  <c:v>1.3889453803602647</c:v>
                </c:pt>
                <c:pt idx="87">
                  <c:v>1.2642142463612061</c:v>
                </c:pt>
                <c:pt idx="88">
                  <c:v>1.0032061366348186</c:v>
                </c:pt>
                <c:pt idx="89">
                  <c:v>1.2413121709116899</c:v>
                </c:pt>
                <c:pt idx="90">
                  <c:v>1.1956659617628107</c:v>
                </c:pt>
                <c:pt idx="91">
                  <c:v>1.1113664922720972</c:v>
                </c:pt>
                <c:pt idx="92">
                  <c:v>1.2186504557609172</c:v>
                </c:pt>
                <c:pt idx="93">
                  <c:v>1.1930823299294246</c:v>
                </c:pt>
                <c:pt idx="94">
                  <c:v>1.1958978138343435</c:v>
                </c:pt>
                <c:pt idx="95">
                  <c:v>1.1605266231348317</c:v>
                </c:pt>
                <c:pt idx="96">
                  <c:v>1.1998735409823302</c:v>
                </c:pt>
                <c:pt idx="97">
                  <c:v>1.2794502726838592</c:v>
                </c:pt>
                <c:pt idx="98">
                  <c:v>1.1877878117202547</c:v>
                </c:pt>
                <c:pt idx="99">
                  <c:v>1.1972973975784784</c:v>
                </c:pt>
                <c:pt idx="100">
                  <c:v>1.2236671358267603</c:v>
                </c:pt>
                <c:pt idx="101">
                  <c:v>1.1812212162864704</c:v>
                </c:pt>
                <c:pt idx="102">
                  <c:v>1.1233240559685491</c:v>
                </c:pt>
                <c:pt idx="103">
                  <c:v>1.1958780518911452</c:v>
                </c:pt>
                <c:pt idx="104">
                  <c:v>1.2155631553905097</c:v>
                </c:pt>
                <c:pt idx="105">
                  <c:v>1.1381832681172588</c:v>
                </c:pt>
                <c:pt idx="106">
                  <c:v>0.91002869268497122</c:v>
                </c:pt>
                <c:pt idx="107">
                  <c:v>0.92193105133593978</c:v>
                </c:pt>
                <c:pt idx="108">
                  <c:v>0.96157578315332692</c:v>
                </c:pt>
                <c:pt idx="109">
                  <c:v>0.97820782113144933</c:v>
                </c:pt>
                <c:pt idx="110">
                  <c:v>1.0509408985961137</c:v>
                </c:pt>
                <c:pt idx="111">
                  <c:v>1.0374716874881083</c:v>
                </c:pt>
                <c:pt idx="112">
                  <c:v>1.0648645508472425</c:v>
                </c:pt>
                <c:pt idx="113">
                  <c:v>1.0691807620622287</c:v>
                </c:pt>
                <c:pt idx="114">
                  <c:v>1.0442608902293422</c:v>
                </c:pt>
                <c:pt idx="115">
                  <c:v>1.0291614717000561</c:v>
                </c:pt>
                <c:pt idx="116">
                  <c:v>1.0495873249424692</c:v>
                </c:pt>
                <c:pt idx="117">
                  <c:v>1.0059450313934581</c:v>
                </c:pt>
                <c:pt idx="118">
                  <c:v>1.078307690647895</c:v>
                </c:pt>
                <c:pt idx="119">
                  <c:v>1.0744626657777454</c:v>
                </c:pt>
                <c:pt idx="120">
                  <c:v>0.91437720445140069</c:v>
                </c:pt>
                <c:pt idx="121">
                  <c:v>0.85718305676837048</c:v>
                </c:pt>
                <c:pt idx="122">
                  <c:v>0.82075534652844695</c:v>
                </c:pt>
                <c:pt idx="123">
                  <c:v>0.92053742303957797</c:v>
                </c:pt>
                <c:pt idx="124">
                  <c:v>0.8660408001455826</c:v>
                </c:pt>
                <c:pt idx="125">
                  <c:v>0.8441949457318545</c:v>
                </c:pt>
                <c:pt idx="126">
                  <c:v>0.83485243714502388</c:v>
                </c:pt>
                <c:pt idx="127">
                  <c:v>0.67837405869247114</c:v>
                </c:pt>
                <c:pt idx="128">
                  <c:v>0.83351636979704224</c:v>
                </c:pt>
                <c:pt idx="129">
                  <c:v>0.76328632198489821</c:v>
                </c:pt>
                <c:pt idx="130">
                  <c:v>0.83234353647333137</c:v>
                </c:pt>
                <c:pt idx="131">
                  <c:v>0.86669499703590258</c:v>
                </c:pt>
                <c:pt idx="132">
                  <c:v>0.76854702025490429</c:v>
                </c:pt>
                <c:pt idx="133">
                  <c:v>0.86384207085347331</c:v>
                </c:pt>
                <c:pt idx="134">
                  <c:v>0.82662937985080642</c:v>
                </c:pt>
                <c:pt idx="135">
                  <c:v>0.82157661968320639</c:v>
                </c:pt>
                <c:pt idx="136">
                  <c:v>0.81336024836147747</c:v>
                </c:pt>
                <c:pt idx="137">
                  <c:v>0.77836387795962025</c:v>
                </c:pt>
                <c:pt idx="138">
                  <c:v>0.83166033487449109</c:v>
                </c:pt>
                <c:pt idx="139">
                  <c:v>0.77992615032712997</c:v>
                </c:pt>
                <c:pt idx="140">
                  <c:v>0.83657425053950618</c:v>
                </c:pt>
                <c:pt idx="141">
                  <c:v>0.89008796594564021</c:v>
                </c:pt>
                <c:pt idx="142">
                  <c:v>0.82605933796553366</c:v>
                </c:pt>
                <c:pt idx="143">
                  <c:v>0.87314801623901861</c:v>
                </c:pt>
                <c:pt idx="144">
                  <c:v>0.8944106286146738</c:v>
                </c:pt>
                <c:pt idx="145">
                  <c:v>0.94339934081755672</c:v>
                </c:pt>
                <c:pt idx="146">
                  <c:v>1.0337945906265134</c:v>
                </c:pt>
                <c:pt idx="147">
                  <c:v>0.92865446439564803</c:v>
                </c:pt>
                <c:pt idx="148">
                  <c:v>0.96190864310089719</c:v>
                </c:pt>
                <c:pt idx="149">
                  <c:v>0.98127075849878409</c:v>
                </c:pt>
                <c:pt idx="150">
                  <c:v>0.92867484046003135</c:v>
                </c:pt>
                <c:pt idx="151">
                  <c:v>0.94094386628791327</c:v>
                </c:pt>
                <c:pt idx="152">
                  <c:v>1.0174389016512286</c:v>
                </c:pt>
                <c:pt idx="153">
                  <c:v>1.0419045789320958</c:v>
                </c:pt>
                <c:pt idx="154">
                  <c:v>0.98356501913464189</c:v>
                </c:pt>
                <c:pt idx="155">
                  <c:v>0.99121402876456699</c:v>
                </c:pt>
                <c:pt idx="156">
                  <c:v>0.90584087544231018</c:v>
                </c:pt>
                <c:pt idx="157">
                  <c:v>0.94399944466670505</c:v>
                </c:pt>
                <c:pt idx="158">
                  <c:v>1.1178990215626659</c:v>
                </c:pt>
                <c:pt idx="159">
                  <c:v>1.1439904269082213</c:v>
                </c:pt>
                <c:pt idx="160">
                  <c:v>1.2331191941053721</c:v>
                </c:pt>
                <c:pt idx="161">
                  <c:v>1.123846640795727</c:v>
                </c:pt>
                <c:pt idx="162">
                  <c:v>1.099135837749925</c:v>
                </c:pt>
                <c:pt idx="163">
                  <c:v>1.0422112260360743</c:v>
                </c:pt>
                <c:pt idx="164">
                  <c:v>0.73164185367643331</c:v>
                </c:pt>
                <c:pt idx="165">
                  <c:v>0.51369145227354629</c:v>
                </c:pt>
                <c:pt idx="166">
                  <c:v>0.51921348020197522</c:v>
                </c:pt>
                <c:pt idx="167">
                  <c:v>0.47956772731581543</c:v>
                </c:pt>
                <c:pt idx="168">
                  <c:v>0.53686040457954221</c:v>
                </c:pt>
                <c:pt idx="169">
                  <c:v>0.52915308312254528</c:v>
                </c:pt>
                <c:pt idx="170">
                  <c:v>0.49140607056837204</c:v>
                </c:pt>
                <c:pt idx="171">
                  <c:v>0.5145844485773825</c:v>
                </c:pt>
                <c:pt idx="172">
                  <c:v>0.56486037141805934</c:v>
                </c:pt>
                <c:pt idx="173">
                  <c:v>0.52447198880859425</c:v>
                </c:pt>
                <c:pt idx="174">
                  <c:v>0.63478727990929151</c:v>
                </c:pt>
                <c:pt idx="175">
                  <c:v>0.61982844854779762</c:v>
                </c:pt>
                <c:pt idx="176">
                  <c:v>0.58563248683039681</c:v>
                </c:pt>
                <c:pt idx="177">
                  <c:v>0.59306491501543768</c:v>
                </c:pt>
                <c:pt idx="178">
                  <c:v>0.49536778207413157</c:v>
                </c:pt>
                <c:pt idx="179">
                  <c:v>0.45783225012719786</c:v>
                </c:pt>
                <c:pt idx="180">
                  <c:v>0.43878062470023727</c:v>
                </c:pt>
                <c:pt idx="181">
                  <c:v>0.43908637379959448</c:v>
                </c:pt>
                <c:pt idx="182">
                  <c:v>0.38259257031077043</c:v>
                </c:pt>
                <c:pt idx="183">
                  <c:v>0.40666981281230985</c:v>
                </c:pt>
                <c:pt idx="184">
                  <c:v>0.34525055402683291</c:v>
                </c:pt>
                <c:pt idx="185">
                  <c:v>0.35287172291074231</c:v>
                </c:pt>
                <c:pt idx="186">
                  <c:v>0.3455489446548059</c:v>
                </c:pt>
                <c:pt idx="187">
                  <c:v>0.3309782958796661</c:v>
                </c:pt>
                <c:pt idx="188">
                  <c:v>0.3831570758670626</c:v>
                </c:pt>
                <c:pt idx="189">
                  <c:v>0.3293788209334565</c:v>
                </c:pt>
                <c:pt idx="190">
                  <c:v>0.32637424776077761</c:v>
                </c:pt>
                <c:pt idx="191">
                  <c:v>0.33802680068713276</c:v>
                </c:pt>
                <c:pt idx="192">
                  <c:v>0.36750092041442217</c:v>
                </c:pt>
                <c:pt idx="193">
                  <c:v>0.35444226019977743</c:v>
                </c:pt>
                <c:pt idx="194">
                  <c:v>0.3898099385283702</c:v>
                </c:pt>
                <c:pt idx="195">
                  <c:v>0.38082163230142507</c:v>
                </c:pt>
                <c:pt idx="196">
                  <c:v>0.3497147317363396</c:v>
                </c:pt>
                <c:pt idx="197">
                  <c:v>0.35534299606380149</c:v>
                </c:pt>
                <c:pt idx="198">
                  <c:v>0.34345508075379039</c:v>
                </c:pt>
                <c:pt idx="199">
                  <c:v>0.3245386799166301</c:v>
                </c:pt>
                <c:pt idx="200">
                  <c:v>0.30086270099608203</c:v>
                </c:pt>
                <c:pt idx="201">
                  <c:v>0.30701941495246388</c:v>
                </c:pt>
                <c:pt idx="202">
                  <c:v>0.30197112286901451</c:v>
                </c:pt>
                <c:pt idx="203">
                  <c:v>0.26667959799395513</c:v>
                </c:pt>
                <c:pt idx="204">
                  <c:v>0.25169192443152166</c:v>
                </c:pt>
                <c:pt idx="205">
                  <c:v>0.33600271269643267</c:v>
                </c:pt>
                <c:pt idx="206">
                  <c:v>0.31573899601362676</c:v>
                </c:pt>
                <c:pt idx="207">
                  <c:v>0.30329117585045173</c:v>
                </c:pt>
                <c:pt idx="208">
                  <c:v>0.3319302437213536</c:v>
                </c:pt>
                <c:pt idx="209">
                  <c:v>0.35217461381439552</c:v>
                </c:pt>
                <c:pt idx="210">
                  <c:v>0.39428100309277081</c:v>
                </c:pt>
                <c:pt idx="211">
                  <c:v>0.3512796020837361</c:v>
                </c:pt>
                <c:pt idx="212">
                  <c:v>0.32696090011139267</c:v>
                </c:pt>
                <c:pt idx="213">
                  <c:v>0.37460838240801264</c:v>
                </c:pt>
                <c:pt idx="214">
                  <c:v>0.32612925140289883</c:v>
                </c:pt>
                <c:pt idx="215">
                  <c:v>0.40791917114317977</c:v>
                </c:pt>
                <c:pt idx="216">
                  <c:v>0.40937605479591843</c:v>
                </c:pt>
                <c:pt idx="217">
                  <c:v>0.38993894281786101</c:v>
                </c:pt>
                <c:pt idx="218">
                  <c:v>0.30898842252542691</c:v>
                </c:pt>
                <c:pt idx="219">
                  <c:v>0.25316965258331914</c:v>
                </c:pt>
                <c:pt idx="220">
                  <c:v>0.24174257185991177</c:v>
                </c:pt>
                <c:pt idx="221">
                  <c:v>0.20774548673614701</c:v>
                </c:pt>
                <c:pt idx="222">
                  <c:v>0.22059688233127872</c:v>
                </c:pt>
                <c:pt idx="223">
                  <c:v>0.19568568796285124</c:v>
                </c:pt>
                <c:pt idx="224">
                  <c:v>0.22087106552356239</c:v>
                </c:pt>
                <c:pt idx="225">
                  <c:v>0.22071056764182373</c:v>
                </c:pt>
                <c:pt idx="226">
                  <c:v>0.24079109353388306</c:v>
                </c:pt>
                <c:pt idx="227">
                  <c:v>0.23038297854403122</c:v>
                </c:pt>
                <c:pt idx="228">
                  <c:v>0.23957723480635229</c:v>
                </c:pt>
                <c:pt idx="229">
                  <c:v>0.25466113129583334</c:v>
                </c:pt>
                <c:pt idx="230">
                  <c:v>0.24475928205168396</c:v>
                </c:pt>
                <c:pt idx="231">
                  <c:v>0.20772600446274359</c:v>
                </c:pt>
                <c:pt idx="232">
                  <c:v>0.18142617468263156</c:v>
                </c:pt>
                <c:pt idx="233">
                  <c:v>0.16397622647482413</c:v>
                </c:pt>
                <c:pt idx="234">
                  <c:v>0.17082754681129719</c:v>
                </c:pt>
                <c:pt idx="235">
                  <c:v>0.17369658861441817</c:v>
                </c:pt>
                <c:pt idx="236">
                  <c:v>0.19145286117245197</c:v>
                </c:pt>
                <c:pt idx="237">
                  <c:v>0.17874887389331251</c:v>
                </c:pt>
                <c:pt idx="238">
                  <c:v>0.15000630501400325</c:v>
                </c:pt>
                <c:pt idx="239">
                  <c:v>0.16560776474920447</c:v>
                </c:pt>
                <c:pt idx="240">
                  <c:v>0.16922646335286418</c:v>
                </c:pt>
                <c:pt idx="241">
                  <c:v>0.16108159573264791</c:v>
                </c:pt>
                <c:pt idx="242">
                  <c:v>0.23812467856809416</c:v>
                </c:pt>
                <c:pt idx="243">
                  <c:v>0.18894907608755274</c:v>
                </c:pt>
                <c:pt idx="244">
                  <c:v>0.19946011157429089</c:v>
                </c:pt>
                <c:pt idx="245">
                  <c:v>0.24207749186914329</c:v>
                </c:pt>
                <c:pt idx="246">
                  <c:v>0.27118737286045214</c:v>
                </c:pt>
                <c:pt idx="247">
                  <c:v>0.27648764282898464</c:v>
                </c:pt>
                <c:pt idx="248">
                  <c:v>0.31515580866919146</c:v>
                </c:pt>
                <c:pt idx="249">
                  <c:v>0.2837000494668902</c:v>
                </c:pt>
                <c:pt idx="250">
                  <c:v>0.2858202007664139</c:v>
                </c:pt>
                <c:pt idx="251">
                  <c:v>0.26783653557779896</c:v>
                </c:pt>
                <c:pt idx="252">
                  <c:v>0.25895251918282414</c:v>
                </c:pt>
                <c:pt idx="253">
                  <c:v>0.16970558912157729</c:v>
                </c:pt>
                <c:pt idx="254">
                  <c:v>0.12090028199517699</c:v>
                </c:pt>
                <c:pt idx="255">
                  <c:v>0.10870939295543525</c:v>
                </c:pt>
                <c:pt idx="256">
                  <c:v>0.11926789439856278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8C-490F-AEF5-79E482D88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743599"/>
        <c:axId val="94246116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Serie3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'TD3'!$AC$4:$AC$260</c15:sqref>
                        </c15:formulaRef>
                      </c:ext>
                    </c:extLst>
                    <c:numCache>
                      <c:formatCode>General</c:formatCode>
                      <c:ptCount val="257"/>
                      <c:pt idx="0" formatCode="0.00">
                        <c:v>1.0124597482576876</c:v>
                      </c:pt>
                      <c:pt idx="1">
                        <c:v>1.1736843174867591</c:v>
                      </c:pt>
                      <c:pt idx="2">
                        <c:v>1.13825025299313</c:v>
                      </c:pt>
                      <c:pt idx="3">
                        <c:v>1.2127396071256813</c:v>
                      </c:pt>
                      <c:pt idx="4">
                        <c:v>1.2075033900490477</c:v>
                      </c:pt>
                      <c:pt idx="5">
                        <c:v>1.1667577533655287</c:v>
                      </c:pt>
                      <c:pt idx="6">
                        <c:v>1.0937292628169208</c:v>
                      </c:pt>
                      <c:pt idx="7">
                        <c:v>1.0470927137739714</c:v>
                      </c:pt>
                      <c:pt idx="8">
                        <c:v>1.0086008383940832</c:v>
                      </c:pt>
                      <c:pt idx="9">
                        <c:v>0.87657743827014956</c:v>
                      </c:pt>
                      <c:pt idx="10">
                        <c:v>0.90081419846685873</c:v>
                      </c:pt>
                      <c:pt idx="11">
                        <c:v>0.91086572166924507</c:v>
                      </c:pt>
                      <c:pt idx="12">
                        <c:v>0.94464079757455488</c:v>
                      </c:pt>
                      <c:pt idx="13">
                        <c:v>0.91684598255137884</c:v>
                      </c:pt>
                      <c:pt idx="14">
                        <c:v>1.0740058406419783</c:v>
                      </c:pt>
                      <c:pt idx="15">
                        <c:v>1.0481909104932778</c:v>
                      </c:pt>
                      <c:pt idx="16">
                        <c:v>1.1450701816356152</c:v>
                      </c:pt>
                      <c:pt idx="17">
                        <c:v>1.0805029283624965</c:v>
                      </c:pt>
                      <c:pt idx="18">
                        <c:v>1.0480927273341727</c:v>
                      </c:pt>
                      <c:pt idx="19">
                        <c:v>1.0725738639764166</c:v>
                      </c:pt>
                      <c:pt idx="20">
                        <c:v>1.0504715587815274</c:v>
                      </c:pt>
                      <c:pt idx="21">
                        <c:v>0.98934303242763089</c:v>
                      </c:pt>
                      <c:pt idx="22">
                        <c:v>1.0088275338969388</c:v>
                      </c:pt>
                      <c:pt idx="23">
                        <c:v>1.0038083887114586</c:v>
                      </c:pt>
                      <c:pt idx="24">
                        <c:v>0.98102998290516619</c:v>
                      </c:pt>
                      <c:pt idx="25">
                        <c:v>0.91245171940011682</c:v>
                      </c:pt>
                      <c:pt idx="26">
                        <c:v>0.89687806468851716</c:v>
                      </c:pt>
                      <c:pt idx="27">
                        <c:v>1.0094992576089918</c:v>
                      </c:pt>
                      <c:pt idx="28">
                        <c:v>0.89929118528071406</c:v>
                      </c:pt>
                      <c:pt idx="29">
                        <c:v>0.9187828902510895</c:v>
                      </c:pt>
                      <c:pt idx="30">
                        <c:v>0.82546504720390734</c:v>
                      </c:pt>
                      <c:pt idx="31">
                        <c:v>0.77394923123656911</c:v>
                      </c:pt>
                      <c:pt idx="32">
                        <c:v>0.78476142703926965</c:v>
                      </c:pt>
                      <c:pt idx="33">
                        <c:v>0.84376950668890083</c:v>
                      </c:pt>
                      <c:pt idx="34">
                        <c:v>0.83692117434411639</c:v>
                      </c:pt>
                      <c:pt idx="35">
                        <c:v>0.79395242296519053</c:v>
                      </c:pt>
                      <c:pt idx="36">
                        <c:v>0.84361647423338149</c:v>
                      </c:pt>
                      <c:pt idx="37">
                        <c:v>0.81255634494388274</c:v>
                      </c:pt>
                      <c:pt idx="38">
                        <c:v>0.8202169112655342</c:v>
                      </c:pt>
                      <c:pt idx="39">
                        <c:v>0.87493353684949815</c:v>
                      </c:pt>
                      <c:pt idx="40">
                        <c:v>0.82753052835480845</c:v>
                      </c:pt>
                      <c:pt idx="41">
                        <c:v>0.80622036576524503</c:v>
                      </c:pt>
                      <c:pt idx="42">
                        <c:v>0.93923533009136395</c:v>
                      </c:pt>
                      <c:pt idx="43">
                        <c:v>1.0313964973581968</c:v>
                      </c:pt>
                      <c:pt idx="44">
                        <c:v>0.91470618766940259</c:v>
                      </c:pt>
                      <c:pt idx="45">
                        <c:v>1.036001548751607</c:v>
                      </c:pt>
                      <c:pt idx="46">
                        <c:v>0.95860689130439658</c:v>
                      </c:pt>
                      <c:pt idx="47">
                        <c:v>0.88862241887424309</c:v>
                      </c:pt>
                      <c:pt idx="48">
                        <c:v>0.99411402338186594</c:v>
                      </c:pt>
                      <c:pt idx="49">
                        <c:v>0.96508138140711752</c:v>
                      </c:pt>
                      <c:pt idx="50">
                        <c:v>1.0077098002911056</c:v>
                      </c:pt>
                      <c:pt idx="51">
                        <c:v>1.022368484581349</c:v>
                      </c:pt>
                      <c:pt idx="52">
                        <c:v>0.85931188393201019</c:v>
                      </c:pt>
                      <c:pt idx="53">
                        <c:v>0.85728735626201624</c:v>
                      </c:pt>
                      <c:pt idx="54">
                        <c:v>0.89328542861875626</c:v>
                      </c:pt>
                      <c:pt idx="55">
                        <c:v>0.97940229228908171</c:v>
                      </c:pt>
                      <c:pt idx="56">
                        <c:v>0.91712172200960862</c:v>
                      </c:pt>
                      <c:pt idx="57">
                        <c:v>0.88087342815688452</c:v>
                      </c:pt>
                      <c:pt idx="58">
                        <c:v>0.96716266608594104</c:v>
                      </c:pt>
                      <c:pt idx="59">
                        <c:v>0.921978706787007</c:v>
                      </c:pt>
                      <c:pt idx="60">
                        <c:v>0.89484475725856449</c:v>
                      </c:pt>
                      <c:pt idx="61">
                        <c:v>0.88478524754314336</c:v>
                      </c:pt>
                      <c:pt idx="62">
                        <c:v>0.85605137262527498</c:v>
                      </c:pt>
                      <c:pt idx="63">
                        <c:v>0.91173752177075418</c:v>
                      </c:pt>
                      <c:pt idx="64">
                        <c:v>0.90819178664518441</c:v>
                      </c:pt>
                      <c:pt idx="65">
                        <c:v>1.0880754805257395</c:v>
                      </c:pt>
                      <c:pt idx="66">
                        <c:v>1.0717589780572567</c:v>
                      </c:pt>
                      <c:pt idx="67">
                        <c:v>1.0795523933985935</c:v>
                      </c:pt>
                      <c:pt idx="68">
                        <c:v>1.1541651354941316</c:v>
                      </c:pt>
                      <c:pt idx="69">
                        <c:v>1.1910707368494395</c:v>
                      </c:pt>
                      <c:pt idx="70">
                        <c:v>1.248306472632148</c:v>
                      </c:pt>
                      <c:pt idx="71">
                        <c:v>1.2511366960510604</c:v>
                      </c:pt>
                      <c:pt idx="72">
                        <c:v>1.2563131224865178</c:v>
                      </c:pt>
                      <c:pt idx="73">
                        <c:v>1.2541483188862015</c:v>
                      </c:pt>
                      <c:pt idx="74">
                        <c:v>1.3125228856784161</c:v>
                      </c:pt>
                      <c:pt idx="75">
                        <c:v>1.3958705343497404</c:v>
                      </c:pt>
                      <c:pt idx="76">
                        <c:v>1.3490286441117982</c:v>
                      </c:pt>
                      <c:pt idx="77">
                        <c:v>1.4829886293140124</c:v>
                      </c:pt>
                      <c:pt idx="78">
                        <c:v>1.5143212598828908</c:v>
                      </c:pt>
                      <c:pt idx="79">
                        <c:v>1.4470691034763767</c:v>
                      </c:pt>
                      <c:pt idx="80">
                        <c:v>1.4940635338850039</c:v>
                      </c:pt>
                      <c:pt idx="81">
                        <c:v>1.4777890891136269</c:v>
                      </c:pt>
                      <c:pt idx="82">
                        <c:v>1.4571916430641323</c:v>
                      </c:pt>
                      <c:pt idx="83">
                        <c:v>1.4078338129772914</c:v>
                      </c:pt>
                      <c:pt idx="84">
                        <c:v>1.4300586427480941</c:v>
                      </c:pt>
                      <c:pt idx="85">
                        <c:v>1.4682239177111578</c:v>
                      </c:pt>
                      <c:pt idx="86">
                        <c:v>1.3891216543254348</c:v>
                      </c:pt>
                      <c:pt idx="87">
                        <c:v>1.2644273673722921</c:v>
                      </c:pt>
                      <c:pt idx="88">
                        <c:v>1.0031379610128655</c:v>
                      </c:pt>
                      <c:pt idx="89">
                        <c:v>1.2414800559888364</c:v>
                      </c:pt>
                      <c:pt idx="90">
                        <c:v>1.1958408225111596</c:v>
                      </c:pt>
                      <c:pt idx="91">
                        <c:v>1.1115476585750308</c:v>
                      </c:pt>
                      <c:pt idx="92">
                        <c:v>1.2187880835546965</c:v>
                      </c:pt>
                      <c:pt idx="93">
                        <c:v>1.1932244139714547</c:v>
                      </c:pt>
                      <c:pt idx="94">
                        <c:v>1.1960390060031465</c:v>
                      </c:pt>
                      <c:pt idx="95">
                        <c:v>1.160673979545791</c:v>
                      </c:pt>
                      <c:pt idx="96">
                        <c:v>1.2000137305017602</c:v>
                      </c:pt>
                      <c:pt idx="97">
                        <c:v>1.2795510872148659</c:v>
                      </c:pt>
                      <c:pt idx="98">
                        <c:v>1.1878941220986803</c:v>
                      </c:pt>
                      <c:pt idx="99">
                        <c:v>1.1974014461067726</c:v>
                      </c:pt>
                      <c:pt idx="100">
                        <c:v>1.2237659180691784</c:v>
                      </c:pt>
                      <c:pt idx="101">
                        <c:v>1.18132703431581</c:v>
                      </c:pt>
                      <c:pt idx="102">
                        <c:v>1.123461057586302</c:v>
                      </c:pt>
                      <c:pt idx="103">
                        <c:v>1.1960068254357805</c:v>
                      </c:pt>
                      <c:pt idx="104">
                        <c:v>1.2156877053934292</c:v>
                      </c:pt>
                      <c:pt idx="105">
                        <c:v>1.1383157405929043</c:v>
                      </c:pt>
                      <c:pt idx="106">
                        <c:v>0.909923938459408</c:v>
                      </c:pt>
                      <c:pt idx="107">
                        <c:v>0.92181268871188404</c:v>
                      </c:pt>
                      <c:pt idx="108">
                        <c:v>0.96144786530575732</c:v>
                      </c:pt>
                      <c:pt idx="109">
                        <c:v>0.97807509390794745</c:v>
                      </c:pt>
                      <c:pt idx="110">
                        <c:v>1.0507994939878027</c:v>
                      </c:pt>
                      <c:pt idx="111">
                        <c:v>1.0373332738361702</c:v>
                      </c:pt>
                      <c:pt idx="112">
                        <c:v>1.0647025548048952</c:v>
                      </c:pt>
                      <c:pt idx="113">
                        <c:v>1.0690172985908137</c:v>
                      </c:pt>
                      <c:pt idx="114">
                        <c:v>1.0441030286746145</c:v>
                      </c:pt>
                      <c:pt idx="115">
                        <c:v>1.0290070821656949</c:v>
                      </c:pt>
                      <c:pt idx="116">
                        <c:v>1.0494274577196401</c:v>
                      </c:pt>
                      <c:pt idx="117">
                        <c:v>1.005814586986715</c:v>
                      </c:pt>
                      <c:pt idx="118">
                        <c:v>1.0781680023147271</c:v>
                      </c:pt>
                      <c:pt idx="119">
                        <c:v>1.0743235388335579</c:v>
                      </c:pt>
                      <c:pt idx="120">
                        <c:v>0.91416991792428981</c:v>
                      </c:pt>
                      <c:pt idx="121">
                        <c:v>0.85698716318901813</c:v>
                      </c:pt>
                      <c:pt idx="122">
                        <c:v>0.82059156933832733</c:v>
                      </c:pt>
                      <c:pt idx="123">
                        <c:v>0.92038043860691932</c:v>
                      </c:pt>
                      <c:pt idx="124">
                        <c:v>0.86589542855305024</c:v>
                      </c:pt>
                      <c:pt idx="125">
                        <c:v>0.84405623303259336</c:v>
                      </c:pt>
                      <c:pt idx="126">
                        <c:v>0.83471921443994079</c:v>
                      </c:pt>
                      <c:pt idx="127">
                        <c:v>0.67810328896813066</c:v>
                      </c:pt>
                      <c:pt idx="128">
                        <c:v>0.83339549267611901</c:v>
                      </c:pt>
                      <c:pt idx="129">
                        <c:v>0.76317558082081682</c:v>
                      </c:pt>
                      <c:pt idx="130">
                        <c:v>0.8321673912908798</c:v>
                      </c:pt>
                      <c:pt idx="131">
                        <c:v>0.86650787888173941</c:v>
                      </c:pt>
                      <c:pt idx="132">
                        <c:v>0.76835438791862154</c:v>
                      </c:pt>
                      <c:pt idx="133">
                        <c:v>0.86365485689359422</c:v>
                      </c:pt>
                      <c:pt idx="134">
                        <c:v>0.82645322448348091</c:v>
                      </c:pt>
                      <c:pt idx="135">
                        <c:v>0.82140184866761934</c:v>
                      </c:pt>
                      <c:pt idx="136">
                        <c:v>0.8131881292198182</c:v>
                      </c:pt>
                      <c:pt idx="137">
                        <c:v>0.77820318712164338</c:v>
                      </c:pt>
                      <c:pt idx="138">
                        <c:v>0.83148588059086748</c:v>
                      </c:pt>
                      <c:pt idx="139">
                        <c:v>0.77976527062558254</c:v>
                      </c:pt>
                      <c:pt idx="140">
                        <c:v>0.83635140924150742</c:v>
                      </c:pt>
                      <c:pt idx="141">
                        <c:v>0.88985150946236802</c:v>
                      </c:pt>
                      <c:pt idx="142">
                        <c:v>0.82583579952581054</c:v>
                      </c:pt>
                      <c:pt idx="143">
                        <c:v>0.87291082786715746</c:v>
                      </c:pt>
                      <c:pt idx="144">
                        <c:v>0.8941655606617277</c:v>
                      </c:pt>
                      <c:pt idx="145">
                        <c:v>0.94310292088025838</c:v>
                      </c:pt>
                      <c:pt idx="146">
                        <c:v>1.0334625999620013</c:v>
                      </c:pt>
                      <c:pt idx="147">
                        <c:v>0.9283212649714907</c:v>
                      </c:pt>
                      <c:pt idx="148">
                        <c:v>0.96156478629015674</c:v>
                      </c:pt>
                      <c:pt idx="149">
                        <c:v>0.98090265540303556</c:v>
                      </c:pt>
                      <c:pt idx="150">
                        <c:v>0.92831973769900011</c:v>
                      </c:pt>
                      <c:pt idx="151">
                        <c:v>0.94058387979704339</c:v>
                      </c:pt>
                      <c:pt idx="152">
                        <c:v>1.0170678470529775</c:v>
                      </c:pt>
                      <c:pt idx="153">
                        <c:v>1.0415256917374134</c:v>
                      </c:pt>
                      <c:pt idx="154">
                        <c:v>0.98323280744330999</c:v>
                      </c:pt>
                      <c:pt idx="155">
                        <c:v>0.99087863036382851</c:v>
                      </c:pt>
                      <c:pt idx="156">
                        <c:v>0.90551476573869205</c:v>
                      </c:pt>
                      <c:pt idx="157">
                        <c:v>0.94366074796600485</c:v>
                      </c:pt>
                      <c:pt idx="158">
                        <c:v>1.1176649188260188</c:v>
                      </c:pt>
                      <c:pt idx="159">
                        <c:v>1.1437293793355074</c:v>
                      </c:pt>
                      <c:pt idx="160">
                        <c:v>1.2328496228126768</c:v>
                      </c:pt>
                      <c:pt idx="161">
                        <c:v>1.1235800176299853</c:v>
                      </c:pt>
                      <c:pt idx="162">
                        <c:v>1.0988755422514165</c:v>
                      </c:pt>
                      <c:pt idx="163">
                        <c:v>1.0419635513370082</c:v>
                      </c:pt>
                      <c:pt idx="164">
                        <c:v>0.73059822139999686</c:v>
                      </c:pt>
                      <c:pt idx="165">
                        <c:v>0.51186145149798823</c:v>
                      </c:pt>
                      <c:pt idx="166">
                        <c:v>0.51737896331955424</c:v>
                      </c:pt>
                      <c:pt idx="167">
                        <c:v>0.4777529522600088</c:v>
                      </c:pt>
                      <c:pt idx="168">
                        <c:v>0.53503095021228475</c:v>
                      </c:pt>
                      <c:pt idx="169">
                        <c:v>0.52733422092051396</c:v>
                      </c:pt>
                      <c:pt idx="170">
                        <c:v>0.48960724929749816</c:v>
                      </c:pt>
                      <c:pt idx="171">
                        <c:v>0.51276940437668905</c:v>
                      </c:pt>
                      <c:pt idx="172">
                        <c:v>0.56302546992936953</c:v>
                      </c:pt>
                      <c:pt idx="173">
                        <c:v>0.52265739119145893</c:v>
                      </c:pt>
                      <c:pt idx="174">
                        <c:v>0.63289948306357813</c:v>
                      </c:pt>
                      <c:pt idx="175">
                        <c:v>0.61794926681744022</c:v>
                      </c:pt>
                      <c:pt idx="176">
                        <c:v>0.58377166139292658</c:v>
                      </c:pt>
                      <c:pt idx="177">
                        <c:v>0.591198273709997</c:v>
                      </c:pt>
                      <c:pt idx="178">
                        <c:v>0.49345768594894973</c:v>
                      </c:pt>
                      <c:pt idx="179">
                        <c:v>0.45600192453722327</c:v>
                      </c:pt>
                      <c:pt idx="180">
                        <c:v>0.43696526161944649</c:v>
                      </c:pt>
                      <c:pt idx="181">
                        <c:v>0.43727004213437642</c:v>
                      </c:pt>
                      <c:pt idx="182">
                        <c:v>0.38078908810957762</c:v>
                      </c:pt>
                      <c:pt idx="183">
                        <c:v>0.40484547198153148</c:v>
                      </c:pt>
                      <c:pt idx="184">
                        <c:v>0.34354932222673695</c:v>
                      </c:pt>
                      <c:pt idx="185">
                        <c:v>0.35116161864786982</c:v>
                      </c:pt>
                      <c:pt idx="186">
                        <c:v>0.34384617467890183</c:v>
                      </c:pt>
                      <c:pt idx="187">
                        <c:v>0.32929039863831855</c:v>
                      </c:pt>
                      <c:pt idx="188">
                        <c:v>0.38145687347395474</c:v>
                      </c:pt>
                      <c:pt idx="189">
                        <c:v>0.32780609328060978</c:v>
                      </c:pt>
                      <c:pt idx="190">
                        <c:v>0.3248044410658732</c:v>
                      </c:pt>
                      <c:pt idx="191">
                        <c:v>0.33644298373391957</c:v>
                      </c:pt>
                      <c:pt idx="192">
                        <c:v>0.36589085936722787</c:v>
                      </c:pt>
                      <c:pt idx="193">
                        <c:v>0.3528458086457763</c:v>
                      </c:pt>
                      <c:pt idx="194">
                        <c:v>0.38809967810423368</c:v>
                      </c:pt>
                      <c:pt idx="195">
                        <c:v>0.37912054153422309</c:v>
                      </c:pt>
                      <c:pt idx="196">
                        <c:v>0.34804043908604415</c:v>
                      </c:pt>
                      <c:pt idx="197">
                        <c:v>0.35366114368517737</c:v>
                      </c:pt>
                      <c:pt idx="198">
                        <c:v>0.34178654330597397</c:v>
                      </c:pt>
                      <c:pt idx="199">
                        <c:v>0.32293360239599272</c:v>
                      </c:pt>
                      <c:pt idx="200">
                        <c:v>0.29928343345344366</c:v>
                      </c:pt>
                      <c:pt idx="201">
                        <c:v>0.30543092450595255</c:v>
                      </c:pt>
                      <c:pt idx="202">
                        <c:v>0.30038888657327451</c:v>
                      </c:pt>
                      <c:pt idx="203">
                        <c:v>0.2651257999674993</c:v>
                      </c:pt>
                      <c:pt idx="204">
                        <c:v>0.25020020013959382</c:v>
                      </c:pt>
                      <c:pt idx="205">
                        <c:v>0.33470222885278345</c:v>
                      </c:pt>
                      <c:pt idx="206">
                        <c:v>0.31446281353101668</c:v>
                      </c:pt>
                      <c:pt idx="207">
                        <c:v>0.302031507520933</c:v>
                      </c:pt>
                      <c:pt idx="208">
                        <c:v>0.33063863163527113</c:v>
                      </c:pt>
                      <c:pt idx="209">
                        <c:v>0.3507928104069411</c:v>
                      </c:pt>
                      <c:pt idx="210">
                        <c:v>0.39286636650045481</c:v>
                      </c:pt>
                      <c:pt idx="211">
                        <c:v>0.34989726603505139</c:v>
                      </c:pt>
                      <c:pt idx="212">
                        <c:v>0.3256075464781325</c:v>
                      </c:pt>
                      <c:pt idx="213">
                        <c:v>0.37322667377099444</c:v>
                      </c:pt>
                      <c:pt idx="214">
                        <c:v>0.32490983166200715</c:v>
                      </c:pt>
                      <c:pt idx="215">
                        <c:v>0.40677707913540945</c:v>
                      </c:pt>
                      <c:pt idx="216">
                        <c:v>0.40823081820578522</c:v>
                      </c:pt>
                      <c:pt idx="217">
                        <c:v>0.38881710664571068</c:v>
                      </c:pt>
                      <c:pt idx="218">
                        <c:v>0.30779345267329616</c:v>
                      </c:pt>
                      <c:pt idx="219">
                        <c:v>0.25216459777984185</c:v>
                      </c:pt>
                      <c:pt idx="220">
                        <c:v>0.24075776318201708</c:v>
                      </c:pt>
                      <c:pt idx="221">
                        <c:v>0.20679462052132877</c:v>
                      </c:pt>
                      <c:pt idx="222">
                        <c:v>0.21961972625203788</c:v>
                      </c:pt>
                      <c:pt idx="223">
                        <c:v>0.19474590270469994</c:v>
                      </c:pt>
                      <c:pt idx="224">
                        <c:v>0.21977207986637604</c:v>
                      </c:pt>
                      <c:pt idx="225">
                        <c:v>0.21961099200071013</c:v>
                      </c:pt>
                      <c:pt idx="226">
                        <c:v>0.23965405112795723</c:v>
                      </c:pt>
                      <c:pt idx="227">
                        <c:v>0.22926661551451363</c:v>
                      </c:pt>
                      <c:pt idx="228">
                        <c:v>0.23844024393678956</c:v>
                      </c:pt>
                      <c:pt idx="229">
                        <c:v>0.25341834165686922</c:v>
                      </c:pt>
                      <c:pt idx="230">
                        <c:v>0.24353648524878543</c:v>
                      </c:pt>
                      <c:pt idx="231">
                        <c:v>0.20654113943473709</c:v>
                      </c:pt>
                      <c:pt idx="232">
                        <c:v>0.18028468510199136</c:v>
                      </c:pt>
                      <c:pt idx="233">
                        <c:v>0.16287327174551236</c:v>
                      </c:pt>
                      <c:pt idx="234">
                        <c:v>0.16965844340224248</c:v>
                      </c:pt>
                      <c:pt idx="235">
                        <c:v>0.17251828546731462</c:v>
                      </c:pt>
                      <c:pt idx="236">
                        <c:v>0.19023157244139993</c:v>
                      </c:pt>
                      <c:pt idx="237">
                        <c:v>0.1775596725086668</c:v>
                      </c:pt>
                      <c:pt idx="238">
                        <c:v>0.14885955320335484</c:v>
                      </c:pt>
                      <c:pt idx="239">
                        <c:v>0.1643115462398558</c:v>
                      </c:pt>
                      <c:pt idx="240">
                        <c:v>0.16791782742128442</c:v>
                      </c:pt>
                      <c:pt idx="241">
                        <c:v>0.15979709511121706</c:v>
                      </c:pt>
                      <c:pt idx="242">
                        <c:v>0.23726703920725484</c:v>
                      </c:pt>
                      <c:pt idx="243">
                        <c:v>0.18809545028338548</c:v>
                      </c:pt>
                      <c:pt idx="244">
                        <c:v>0.19849837570179557</c:v>
                      </c:pt>
                      <c:pt idx="245">
                        <c:v>0.24107700388873302</c:v>
                      </c:pt>
                      <c:pt idx="246">
                        <c:v>0.27012607591086291</c:v>
                      </c:pt>
                      <c:pt idx="247">
                        <c:v>0.27541041648317471</c:v>
                      </c:pt>
                      <c:pt idx="248">
                        <c:v>0.31401566168525918</c:v>
                      </c:pt>
                      <c:pt idx="249">
                        <c:v>0.28276656256586064</c:v>
                      </c:pt>
                      <c:pt idx="250">
                        <c:v>0.28487874906822691</c:v>
                      </c:pt>
                      <c:pt idx="251">
                        <c:v>0.26693985462521735</c:v>
                      </c:pt>
                      <c:pt idx="252">
                        <c:v>0.25807967740853954</c:v>
                      </c:pt>
                      <c:pt idx="253">
                        <c:v>0.16826981871232577</c:v>
                      </c:pt>
                      <c:pt idx="254">
                        <c:v>0.11976590059281775</c:v>
                      </c:pt>
                      <c:pt idx="255">
                        <c:v>0.10762553639586804</c:v>
                      </c:pt>
                      <c:pt idx="256">
                        <c:v>0.1181352401907295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98C-490F-AEF5-79E482D88FB0}"/>
                  </c:ext>
                </c:extLst>
              </c15:ser>
            </c15:filteredLineSeries>
          </c:ext>
        </c:extLst>
      </c:lineChart>
      <c:catAx>
        <c:axId val="938743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2461167"/>
        <c:crosses val="autoZero"/>
        <c:auto val="1"/>
        <c:lblAlgn val="ctr"/>
        <c:lblOffset val="100"/>
        <c:noMultiLvlLbl val="0"/>
      </c:catAx>
      <c:valAx>
        <c:axId val="94246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874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serie2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'TD3'!$I$4:$I$260</c:f>
              <c:numCache>
                <c:formatCode>0.00</c:formatCode>
                <c:ptCount val="257"/>
                <c:pt idx="0">
                  <c:v>1.0124597482576876</c:v>
                </c:pt>
                <c:pt idx="1">
                  <c:v>1.1736318286956573</c:v>
                </c:pt>
                <c:pt idx="2">
                  <c:v>1.1381932005639088</c:v>
                </c:pt>
                <c:pt idx="3">
                  <c:v>1.2126872613515687</c:v>
                </c:pt>
                <c:pt idx="4">
                  <c:v>1.2074504586409462</c:v>
                </c:pt>
                <c:pt idx="5">
                  <c:v>1.1666890235002993</c:v>
                </c:pt>
                <c:pt idx="6">
                  <c:v>1.0936555064747644</c:v>
                </c:pt>
                <c:pt idx="7">
                  <c:v>1.0470131475377569</c:v>
                </c:pt>
                <c:pt idx="8">
                  <c:v>1.008515823633636</c:v>
                </c:pt>
                <c:pt idx="9">
                  <c:v>0.87652422038619404</c:v>
                </c:pt>
                <c:pt idx="10">
                  <c:v>0.90077677085582541</c:v>
                </c:pt>
                <c:pt idx="11">
                  <c:v>0.91083044983182049</c:v>
                </c:pt>
                <c:pt idx="12">
                  <c:v>0.94461126558264263</c:v>
                </c:pt>
                <c:pt idx="13">
                  <c:v>0.91681169530527562</c:v>
                </c:pt>
                <c:pt idx="14">
                  <c:v>1.0739091092484543</c:v>
                </c:pt>
                <c:pt idx="15">
                  <c:v>1.0480826388693592</c:v>
                </c:pt>
                <c:pt idx="16">
                  <c:v>1.1449610421206726</c:v>
                </c:pt>
                <c:pt idx="17">
                  <c:v>1.0803878468829948</c:v>
                </c:pt>
                <c:pt idx="18">
                  <c:v>1.0479727912609214</c:v>
                </c:pt>
                <c:pt idx="19">
                  <c:v>1.0724581074008315</c:v>
                </c:pt>
                <c:pt idx="20">
                  <c:v>1.0503459627187475</c:v>
                </c:pt>
                <c:pt idx="21">
                  <c:v>0.9892111248872788</c:v>
                </c:pt>
                <c:pt idx="22">
                  <c:v>1.0086993201098355</c:v>
                </c:pt>
                <c:pt idx="23">
                  <c:v>1.0036794225032786</c:v>
                </c:pt>
                <c:pt idx="24">
                  <c:v>0.98089709724959073</c:v>
                </c:pt>
                <c:pt idx="25">
                  <c:v>0.91228676549888776</c:v>
                </c:pt>
                <c:pt idx="26">
                  <c:v>0.89671010387020855</c:v>
                </c:pt>
                <c:pt idx="27">
                  <c:v>1.0093162664322923</c:v>
                </c:pt>
                <c:pt idx="28">
                  <c:v>0.89911944665271459</c:v>
                </c:pt>
                <c:pt idx="29">
                  <c:v>0.91861525274058131</c:v>
                </c:pt>
                <c:pt idx="30">
                  <c:v>0.82526099987301027</c:v>
                </c:pt>
                <c:pt idx="31">
                  <c:v>0.7737379794482937</c:v>
                </c:pt>
                <c:pt idx="32">
                  <c:v>0.78455297207659402</c:v>
                </c:pt>
                <c:pt idx="33">
                  <c:v>0.84356753814523477</c:v>
                </c:pt>
                <c:pt idx="34">
                  <c:v>0.83671782054812915</c:v>
                </c:pt>
                <c:pt idx="35">
                  <c:v>0.79372255073909814</c:v>
                </c:pt>
                <c:pt idx="36">
                  <c:v>0.84339410944038695</c:v>
                </c:pt>
                <c:pt idx="37">
                  <c:v>0.81232778368999981</c:v>
                </c:pt>
                <c:pt idx="38">
                  <c:v>0.81999038550842762</c:v>
                </c:pt>
                <c:pt idx="39">
                  <c:v>0.87471430315439402</c:v>
                </c:pt>
                <c:pt idx="40">
                  <c:v>0.82728294245806122</c:v>
                </c:pt>
                <c:pt idx="41">
                  <c:v>0.80596808956298283</c:v>
                </c:pt>
                <c:pt idx="42">
                  <c:v>0.93893598928226663</c:v>
                </c:pt>
                <c:pt idx="43">
                  <c:v>1.0310964243846783</c:v>
                </c:pt>
                <c:pt idx="44">
                  <c:v>0.91442089460371045</c:v>
                </c:pt>
                <c:pt idx="45">
                  <c:v>1.0357464710072719</c:v>
                </c:pt>
                <c:pt idx="46">
                  <c:v>0.95834684048870855</c:v>
                </c:pt>
                <c:pt idx="47">
                  <c:v>0.88835639987307946</c:v>
                </c:pt>
                <c:pt idx="48">
                  <c:v>0.99383802973629454</c:v>
                </c:pt>
                <c:pt idx="49">
                  <c:v>0.9648000317219072</c:v>
                </c:pt>
                <c:pt idx="50">
                  <c:v>1.0074553337137502</c:v>
                </c:pt>
                <c:pt idx="51">
                  <c:v>1.0221171922237415</c:v>
                </c:pt>
                <c:pt idx="52">
                  <c:v>0.85914083240650774</c:v>
                </c:pt>
                <c:pt idx="53">
                  <c:v>0.85711603581833717</c:v>
                </c:pt>
                <c:pt idx="54">
                  <c:v>0.89312142576005638</c:v>
                </c:pt>
                <c:pt idx="55">
                  <c:v>0.9792796005472777</c:v>
                </c:pt>
                <c:pt idx="56">
                  <c:v>0.91699160091001719</c:v>
                </c:pt>
                <c:pt idx="57">
                  <c:v>0.8807362909917078</c:v>
                </c:pt>
                <c:pt idx="58">
                  <c:v>0.96702639945293001</c:v>
                </c:pt>
                <c:pt idx="59">
                  <c:v>0.92183480788692318</c:v>
                </c:pt>
                <c:pt idx="60">
                  <c:v>0.89467494145917037</c:v>
                </c:pt>
                <c:pt idx="61">
                  <c:v>0.88461322687246025</c:v>
                </c:pt>
                <c:pt idx="62">
                  <c:v>0.85587309218401231</c:v>
                </c:pt>
                <c:pt idx="63">
                  <c:v>0.91161254902813038</c:v>
                </c:pt>
                <c:pt idx="64">
                  <c:v>0.90806620249523728</c:v>
                </c:pt>
                <c:pt idx="65">
                  <c:v>1.0878377711133593</c:v>
                </c:pt>
                <c:pt idx="66">
                  <c:v>1.0715182688189646</c:v>
                </c:pt>
                <c:pt idx="67">
                  <c:v>1.079318918105443</c:v>
                </c:pt>
                <c:pt idx="68">
                  <c:v>1.1539382458864305</c:v>
                </c:pt>
                <c:pt idx="69">
                  <c:v>1.1908500933078452</c:v>
                </c:pt>
                <c:pt idx="70">
                  <c:v>1.2480931564089595</c:v>
                </c:pt>
                <c:pt idx="71">
                  <c:v>1.2509241450870725</c:v>
                </c:pt>
                <c:pt idx="72">
                  <c:v>1.2561057533993152</c:v>
                </c:pt>
                <c:pt idx="73">
                  <c:v>1.2539408535175038</c:v>
                </c:pt>
                <c:pt idx="74">
                  <c:v>1.3123225599072912</c:v>
                </c:pt>
                <c:pt idx="75">
                  <c:v>1.3956759516507482</c:v>
                </c:pt>
                <c:pt idx="76">
                  <c:v>1.3488282527119573</c:v>
                </c:pt>
                <c:pt idx="77">
                  <c:v>1.4828202431248263</c:v>
                </c:pt>
                <c:pt idx="78">
                  <c:v>1.5141570425547677</c:v>
                </c:pt>
                <c:pt idx="79">
                  <c:v>1.4468986852043377</c:v>
                </c:pt>
                <c:pt idx="80">
                  <c:v>1.4938988150414634</c:v>
                </c:pt>
                <c:pt idx="81">
                  <c:v>1.4776224399300384</c:v>
                </c:pt>
                <c:pt idx="82">
                  <c:v>1.4570188819730028</c:v>
                </c:pt>
                <c:pt idx="83">
                  <c:v>1.4076552573286776</c:v>
                </c:pt>
                <c:pt idx="84">
                  <c:v>1.4298835681316664</c:v>
                </c:pt>
                <c:pt idx="85">
                  <c:v>1.468054020356516</c:v>
                </c:pt>
                <c:pt idx="86">
                  <c:v>1.3889453803602647</c:v>
                </c:pt>
                <c:pt idx="87">
                  <c:v>1.2642142463612061</c:v>
                </c:pt>
                <c:pt idx="88">
                  <c:v>1.0032061366348186</c:v>
                </c:pt>
                <c:pt idx="89">
                  <c:v>1.2413121709116899</c:v>
                </c:pt>
                <c:pt idx="90">
                  <c:v>1.1956659617628107</c:v>
                </c:pt>
                <c:pt idx="91">
                  <c:v>1.1113664922720972</c:v>
                </c:pt>
                <c:pt idx="92">
                  <c:v>1.2186504557609172</c:v>
                </c:pt>
                <c:pt idx="93">
                  <c:v>1.1930823299294246</c:v>
                </c:pt>
                <c:pt idx="94">
                  <c:v>1.1958978138343435</c:v>
                </c:pt>
                <c:pt idx="95">
                  <c:v>1.1605266231348317</c:v>
                </c:pt>
                <c:pt idx="96">
                  <c:v>1.1998735409823302</c:v>
                </c:pt>
                <c:pt idx="97">
                  <c:v>1.2794502726838592</c:v>
                </c:pt>
                <c:pt idx="98">
                  <c:v>1.1877878117202547</c:v>
                </c:pt>
                <c:pt idx="99">
                  <c:v>1.1972973975784784</c:v>
                </c:pt>
                <c:pt idx="100">
                  <c:v>1.2236671358267603</c:v>
                </c:pt>
                <c:pt idx="101">
                  <c:v>1.1812212162864704</c:v>
                </c:pt>
                <c:pt idx="102">
                  <c:v>1.1233240559685491</c:v>
                </c:pt>
                <c:pt idx="103">
                  <c:v>1.1958780518911452</c:v>
                </c:pt>
                <c:pt idx="104">
                  <c:v>1.2155631553905097</c:v>
                </c:pt>
                <c:pt idx="105">
                  <c:v>1.1381832681172588</c:v>
                </c:pt>
                <c:pt idx="106">
                  <c:v>0.91002869268497122</c:v>
                </c:pt>
                <c:pt idx="107">
                  <c:v>0.92193105133593978</c:v>
                </c:pt>
                <c:pt idx="108">
                  <c:v>0.96157578315332692</c:v>
                </c:pt>
                <c:pt idx="109">
                  <c:v>0.97820782113144933</c:v>
                </c:pt>
                <c:pt idx="110">
                  <c:v>1.0509408985961137</c:v>
                </c:pt>
                <c:pt idx="111">
                  <c:v>1.0374716874881083</c:v>
                </c:pt>
                <c:pt idx="112">
                  <c:v>1.0648645508472425</c:v>
                </c:pt>
                <c:pt idx="113">
                  <c:v>1.0691807620622287</c:v>
                </c:pt>
                <c:pt idx="114">
                  <c:v>1.0442608902293422</c:v>
                </c:pt>
                <c:pt idx="115">
                  <c:v>1.0291614717000561</c:v>
                </c:pt>
                <c:pt idx="116">
                  <c:v>1.0495873249424692</c:v>
                </c:pt>
                <c:pt idx="117">
                  <c:v>1.0059450313934581</c:v>
                </c:pt>
                <c:pt idx="118">
                  <c:v>1.078307690647895</c:v>
                </c:pt>
                <c:pt idx="119">
                  <c:v>1.0744626657777454</c:v>
                </c:pt>
                <c:pt idx="120">
                  <c:v>0.91437720445140069</c:v>
                </c:pt>
                <c:pt idx="121">
                  <c:v>0.85718305676837048</c:v>
                </c:pt>
                <c:pt idx="122">
                  <c:v>0.82075534652844695</c:v>
                </c:pt>
                <c:pt idx="123">
                  <c:v>0.92053742303957797</c:v>
                </c:pt>
                <c:pt idx="124">
                  <c:v>0.8660408001455826</c:v>
                </c:pt>
                <c:pt idx="125">
                  <c:v>0.8441949457318545</c:v>
                </c:pt>
                <c:pt idx="126">
                  <c:v>0.83485243714502388</c:v>
                </c:pt>
                <c:pt idx="127">
                  <c:v>0.67837405869247114</c:v>
                </c:pt>
                <c:pt idx="128">
                  <c:v>0.83351636979704224</c:v>
                </c:pt>
                <c:pt idx="129">
                  <c:v>0.76328632198489821</c:v>
                </c:pt>
                <c:pt idx="130">
                  <c:v>0.83234353647333137</c:v>
                </c:pt>
                <c:pt idx="131">
                  <c:v>0.86669499703590258</c:v>
                </c:pt>
                <c:pt idx="132">
                  <c:v>0.76854702025490429</c:v>
                </c:pt>
                <c:pt idx="133">
                  <c:v>0.86384207085347331</c:v>
                </c:pt>
                <c:pt idx="134">
                  <c:v>0.82662937985080642</c:v>
                </c:pt>
                <c:pt idx="135">
                  <c:v>0.82157661968320639</c:v>
                </c:pt>
                <c:pt idx="136">
                  <c:v>0.81336024836147747</c:v>
                </c:pt>
                <c:pt idx="137">
                  <c:v>0.77836387795962025</c:v>
                </c:pt>
                <c:pt idx="138">
                  <c:v>0.83166033487449109</c:v>
                </c:pt>
                <c:pt idx="139">
                  <c:v>0.77992615032712997</c:v>
                </c:pt>
                <c:pt idx="140">
                  <c:v>0.83657425053950618</c:v>
                </c:pt>
                <c:pt idx="141">
                  <c:v>0.89008796594564021</c:v>
                </c:pt>
                <c:pt idx="142">
                  <c:v>0.82605933796553366</c:v>
                </c:pt>
                <c:pt idx="143">
                  <c:v>0.87314801623901861</c:v>
                </c:pt>
                <c:pt idx="144">
                  <c:v>0.8944106286146738</c:v>
                </c:pt>
                <c:pt idx="145">
                  <c:v>0.94339934081755672</c:v>
                </c:pt>
                <c:pt idx="146">
                  <c:v>1.0337945906265134</c:v>
                </c:pt>
                <c:pt idx="147">
                  <c:v>0.92865446439564803</c:v>
                </c:pt>
                <c:pt idx="148">
                  <c:v>0.96190864310089719</c:v>
                </c:pt>
                <c:pt idx="149">
                  <c:v>0.98127075849878409</c:v>
                </c:pt>
                <c:pt idx="150">
                  <c:v>0.92867484046003135</c:v>
                </c:pt>
                <c:pt idx="151">
                  <c:v>0.94094386628791327</c:v>
                </c:pt>
                <c:pt idx="152">
                  <c:v>1.0174389016512286</c:v>
                </c:pt>
                <c:pt idx="153">
                  <c:v>1.0419045789320958</c:v>
                </c:pt>
                <c:pt idx="154">
                  <c:v>0.98356501913464189</c:v>
                </c:pt>
                <c:pt idx="155">
                  <c:v>0.99121402876456699</c:v>
                </c:pt>
                <c:pt idx="156">
                  <c:v>0.90584087544231018</c:v>
                </c:pt>
                <c:pt idx="157">
                  <c:v>0.94399944466670505</c:v>
                </c:pt>
                <c:pt idx="158">
                  <c:v>1.1178990215626659</c:v>
                </c:pt>
                <c:pt idx="159">
                  <c:v>1.1439904269082213</c:v>
                </c:pt>
                <c:pt idx="160">
                  <c:v>1.2331191941053721</c:v>
                </c:pt>
                <c:pt idx="161">
                  <c:v>1.123846640795727</c:v>
                </c:pt>
                <c:pt idx="162">
                  <c:v>1.099135837749925</c:v>
                </c:pt>
                <c:pt idx="163">
                  <c:v>1.0422112260360743</c:v>
                </c:pt>
                <c:pt idx="164">
                  <c:v>0.73164185367643331</c:v>
                </c:pt>
                <c:pt idx="165">
                  <c:v>0.51369145227354629</c:v>
                </c:pt>
                <c:pt idx="166">
                  <c:v>0.51921348020197522</c:v>
                </c:pt>
                <c:pt idx="167">
                  <c:v>0.47956772731581543</c:v>
                </c:pt>
                <c:pt idx="168">
                  <c:v>0.53686040457954221</c:v>
                </c:pt>
                <c:pt idx="169">
                  <c:v>0.52915308312254528</c:v>
                </c:pt>
                <c:pt idx="170">
                  <c:v>0.49140607056837204</c:v>
                </c:pt>
                <c:pt idx="171">
                  <c:v>0.5145844485773825</c:v>
                </c:pt>
                <c:pt idx="172">
                  <c:v>0.56486037141805934</c:v>
                </c:pt>
                <c:pt idx="173">
                  <c:v>0.52447198880859425</c:v>
                </c:pt>
                <c:pt idx="174">
                  <c:v>0.63478727990929151</c:v>
                </c:pt>
                <c:pt idx="175">
                  <c:v>0.61982844854779762</c:v>
                </c:pt>
                <c:pt idx="176">
                  <c:v>0.58563248683039681</c:v>
                </c:pt>
                <c:pt idx="177">
                  <c:v>0.59306491501543768</c:v>
                </c:pt>
                <c:pt idx="178">
                  <c:v>0.49536778207413157</c:v>
                </c:pt>
                <c:pt idx="179">
                  <c:v>0.45783225012719786</c:v>
                </c:pt>
                <c:pt idx="180">
                  <c:v>0.43878062470023727</c:v>
                </c:pt>
                <c:pt idx="181">
                  <c:v>0.43908637379959448</c:v>
                </c:pt>
                <c:pt idx="182">
                  <c:v>0.38259257031077043</c:v>
                </c:pt>
                <c:pt idx="183">
                  <c:v>0.40666981281230985</c:v>
                </c:pt>
                <c:pt idx="184">
                  <c:v>0.34525055402683291</c:v>
                </c:pt>
                <c:pt idx="185">
                  <c:v>0.35287172291074231</c:v>
                </c:pt>
                <c:pt idx="186">
                  <c:v>0.3455489446548059</c:v>
                </c:pt>
                <c:pt idx="187">
                  <c:v>0.3309782958796661</c:v>
                </c:pt>
                <c:pt idx="188">
                  <c:v>0.3831570758670626</c:v>
                </c:pt>
                <c:pt idx="189">
                  <c:v>0.3293788209334565</c:v>
                </c:pt>
                <c:pt idx="190">
                  <c:v>0.32637424776077761</c:v>
                </c:pt>
                <c:pt idx="191">
                  <c:v>0.33802680068713276</c:v>
                </c:pt>
                <c:pt idx="192">
                  <c:v>0.36750092041442217</c:v>
                </c:pt>
                <c:pt idx="193">
                  <c:v>0.35444226019977743</c:v>
                </c:pt>
                <c:pt idx="194">
                  <c:v>0.3898099385283702</c:v>
                </c:pt>
                <c:pt idx="195">
                  <c:v>0.38082163230142507</c:v>
                </c:pt>
                <c:pt idx="196">
                  <c:v>0.3497147317363396</c:v>
                </c:pt>
                <c:pt idx="197">
                  <c:v>0.35534299606380149</c:v>
                </c:pt>
                <c:pt idx="198">
                  <c:v>0.34345508075379039</c:v>
                </c:pt>
                <c:pt idx="199">
                  <c:v>0.3245386799166301</c:v>
                </c:pt>
                <c:pt idx="200">
                  <c:v>0.30086270099608203</c:v>
                </c:pt>
                <c:pt idx="201">
                  <c:v>0.30701941495246388</c:v>
                </c:pt>
                <c:pt idx="202">
                  <c:v>0.30197112286901451</c:v>
                </c:pt>
                <c:pt idx="203">
                  <c:v>0.26667959799395513</c:v>
                </c:pt>
                <c:pt idx="204">
                  <c:v>0.25169192443152166</c:v>
                </c:pt>
                <c:pt idx="205">
                  <c:v>0.33600271269643267</c:v>
                </c:pt>
                <c:pt idx="206">
                  <c:v>0.31573899601362676</c:v>
                </c:pt>
                <c:pt idx="207">
                  <c:v>0.30329117585045173</c:v>
                </c:pt>
                <c:pt idx="208">
                  <c:v>0.3319302437213536</c:v>
                </c:pt>
                <c:pt idx="209">
                  <c:v>0.35217461381439552</c:v>
                </c:pt>
                <c:pt idx="210">
                  <c:v>0.39428100309277081</c:v>
                </c:pt>
                <c:pt idx="211">
                  <c:v>0.3512796020837361</c:v>
                </c:pt>
                <c:pt idx="212">
                  <c:v>0.32696090011139267</c:v>
                </c:pt>
                <c:pt idx="213">
                  <c:v>0.37460838240801264</c:v>
                </c:pt>
                <c:pt idx="214">
                  <c:v>0.32612925140289883</c:v>
                </c:pt>
                <c:pt idx="215">
                  <c:v>0.40791917114317977</c:v>
                </c:pt>
                <c:pt idx="216">
                  <c:v>0.40937605479591843</c:v>
                </c:pt>
                <c:pt idx="217">
                  <c:v>0.38993894281786101</c:v>
                </c:pt>
                <c:pt idx="218">
                  <c:v>0.30898842252542691</c:v>
                </c:pt>
                <c:pt idx="219">
                  <c:v>0.25316965258331914</c:v>
                </c:pt>
                <c:pt idx="220">
                  <c:v>0.24174257185991177</c:v>
                </c:pt>
                <c:pt idx="221">
                  <c:v>0.20774548673614701</c:v>
                </c:pt>
                <c:pt idx="222">
                  <c:v>0.22059688233127872</c:v>
                </c:pt>
                <c:pt idx="223">
                  <c:v>0.19568568796285124</c:v>
                </c:pt>
                <c:pt idx="224">
                  <c:v>0.22087106552356239</c:v>
                </c:pt>
                <c:pt idx="225">
                  <c:v>0.22071056764182373</c:v>
                </c:pt>
                <c:pt idx="226">
                  <c:v>0.24079109353388306</c:v>
                </c:pt>
                <c:pt idx="227">
                  <c:v>0.23038297854403122</c:v>
                </c:pt>
                <c:pt idx="228">
                  <c:v>0.23957723480635229</c:v>
                </c:pt>
                <c:pt idx="229">
                  <c:v>0.25466113129583334</c:v>
                </c:pt>
                <c:pt idx="230">
                  <c:v>0.24475928205168396</c:v>
                </c:pt>
                <c:pt idx="231">
                  <c:v>0.20772600446274359</c:v>
                </c:pt>
                <c:pt idx="232">
                  <c:v>0.18142617468263156</c:v>
                </c:pt>
                <c:pt idx="233">
                  <c:v>0.16397622647482413</c:v>
                </c:pt>
                <c:pt idx="234">
                  <c:v>0.17082754681129719</c:v>
                </c:pt>
                <c:pt idx="235">
                  <c:v>0.17369658861441817</c:v>
                </c:pt>
                <c:pt idx="236">
                  <c:v>0.19145286117245197</c:v>
                </c:pt>
                <c:pt idx="237">
                  <c:v>0.17874887389331251</c:v>
                </c:pt>
                <c:pt idx="238">
                  <c:v>0.15000630501400325</c:v>
                </c:pt>
                <c:pt idx="239">
                  <c:v>0.16560776474920447</c:v>
                </c:pt>
                <c:pt idx="240">
                  <c:v>0.16922646335286418</c:v>
                </c:pt>
                <c:pt idx="241">
                  <c:v>0.16108159573264791</c:v>
                </c:pt>
                <c:pt idx="242">
                  <c:v>0.23812467856809416</c:v>
                </c:pt>
                <c:pt idx="243">
                  <c:v>0.18894907608755274</c:v>
                </c:pt>
                <c:pt idx="244">
                  <c:v>0.19946011157429089</c:v>
                </c:pt>
                <c:pt idx="245">
                  <c:v>0.24207749186914329</c:v>
                </c:pt>
                <c:pt idx="246">
                  <c:v>0.27118737286045214</c:v>
                </c:pt>
                <c:pt idx="247">
                  <c:v>0.27648764282898464</c:v>
                </c:pt>
                <c:pt idx="248">
                  <c:v>0.31515580866919146</c:v>
                </c:pt>
                <c:pt idx="249">
                  <c:v>0.2837000494668902</c:v>
                </c:pt>
                <c:pt idx="250">
                  <c:v>0.2858202007664139</c:v>
                </c:pt>
                <c:pt idx="251">
                  <c:v>0.26783653557779896</c:v>
                </c:pt>
                <c:pt idx="252">
                  <c:v>0.25895251918282414</c:v>
                </c:pt>
                <c:pt idx="253">
                  <c:v>0.16970558912157729</c:v>
                </c:pt>
                <c:pt idx="254">
                  <c:v>0.12090028199517699</c:v>
                </c:pt>
                <c:pt idx="255">
                  <c:v>0.10870939295543525</c:v>
                </c:pt>
                <c:pt idx="256">
                  <c:v>0.11926789439856278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07-41DC-9B66-A35EB0D6C6FF}"/>
            </c:ext>
          </c:extLst>
        </c:ser>
        <c:ser>
          <c:idx val="2"/>
          <c:order val="2"/>
          <c:tx>
            <c:v>Serie3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'TD3'!$AC$4:$AC$260</c:f>
              <c:numCache>
                <c:formatCode>General</c:formatCode>
                <c:ptCount val="257"/>
                <c:pt idx="0" formatCode="0.00">
                  <c:v>1.0124597482576876</c:v>
                </c:pt>
                <c:pt idx="1">
                  <c:v>1.1736843174867591</c:v>
                </c:pt>
                <c:pt idx="2">
                  <c:v>1.13825025299313</c:v>
                </c:pt>
                <c:pt idx="3">
                  <c:v>1.2127396071256813</c:v>
                </c:pt>
                <c:pt idx="4">
                  <c:v>1.2075033900490477</c:v>
                </c:pt>
                <c:pt idx="5">
                  <c:v>1.1667577533655287</c:v>
                </c:pt>
                <c:pt idx="6">
                  <c:v>1.0937292628169208</c:v>
                </c:pt>
                <c:pt idx="7">
                  <c:v>1.0470927137739714</c:v>
                </c:pt>
                <c:pt idx="8">
                  <c:v>1.0086008383940832</c:v>
                </c:pt>
                <c:pt idx="9">
                  <c:v>0.87657743827014956</c:v>
                </c:pt>
                <c:pt idx="10">
                  <c:v>0.90081419846685873</c:v>
                </c:pt>
                <c:pt idx="11">
                  <c:v>0.91086572166924507</c:v>
                </c:pt>
                <c:pt idx="12">
                  <c:v>0.94464079757455488</c:v>
                </c:pt>
                <c:pt idx="13">
                  <c:v>0.91684598255137884</c:v>
                </c:pt>
                <c:pt idx="14">
                  <c:v>1.0740058406419783</c:v>
                </c:pt>
                <c:pt idx="15">
                  <c:v>1.0481909104932778</c:v>
                </c:pt>
                <c:pt idx="16">
                  <c:v>1.1450701816356152</c:v>
                </c:pt>
                <c:pt idx="17">
                  <c:v>1.0805029283624965</c:v>
                </c:pt>
                <c:pt idx="18">
                  <c:v>1.0480927273341727</c:v>
                </c:pt>
                <c:pt idx="19">
                  <c:v>1.0725738639764166</c:v>
                </c:pt>
                <c:pt idx="20">
                  <c:v>1.0504715587815274</c:v>
                </c:pt>
                <c:pt idx="21">
                  <c:v>0.98934303242763089</c:v>
                </c:pt>
                <c:pt idx="22">
                  <c:v>1.0088275338969388</c:v>
                </c:pt>
                <c:pt idx="23">
                  <c:v>1.0038083887114586</c:v>
                </c:pt>
                <c:pt idx="24">
                  <c:v>0.98102998290516619</c:v>
                </c:pt>
                <c:pt idx="25">
                  <c:v>0.91245171940011682</c:v>
                </c:pt>
                <c:pt idx="26">
                  <c:v>0.89687806468851716</c:v>
                </c:pt>
                <c:pt idx="27">
                  <c:v>1.0094992576089918</c:v>
                </c:pt>
                <c:pt idx="28">
                  <c:v>0.89929118528071406</c:v>
                </c:pt>
                <c:pt idx="29">
                  <c:v>0.9187828902510895</c:v>
                </c:pt>
                <c:pt idx="30">
                  <c:v>0.82546504720390734</c:v>
                </c:pt>
                <c:pt idx="31">
                  <c:v>0.77394923123656911</c:v>
                </c:pt>
                <c:pt idx="32">
                  <c:v>0.78476142703926965</c:v>
                </c:pt>
                <c:pt idx="33">
                  <c:v>0.84376950668890083</c:v>
                </c:pt>
                <c:pt idx="34">
                  <c:v>0.83692117434411639</c:v>
                </c:pt>
                <c:pt idx="35">
                  <c:v>0.79395242296519053</c:v>
                </c:pt>
                <c:pt idx="36">
                  <c:v>0.84361647423338149</c:v>
                </c:pt>
                <c:pt idx="37">
                  <c:v>0.81255634494388274</c:v>
                </c:pt>
                <c:pt idx="38">
                  <c:v>0.8202169112655342</c:v>
                </c:pt>
                <c:pt idx="39">
                  <c:v>0.87493353684949815</c:v>
                </c:pt>
                <c:pt idx="40">
                  <c:v>0.82753052835480845</c:v>
                </c:pt>
                <c:pt idx="41">
                  <c:v>0.80622036576524503</c:v>
                </c:pt>
                <c:pt idx="42">
                  <c:v>0.93923533009136395</c:v>
                </c:pt>
                <c:pt idx="43">
                  <c:v>1.0313964973581968</c:v>
                </c:pt>
                <c:pt idx="44">
                  <c:v>0.91470618766940259</c:v>
                </c:pt>
                <c:pt idx="45">
                  <c:v>1.036001548751607</c:v>
                </c:pt>
                <c:pt idx="46">
                  <c:v>0.95860689130439658</c:v>
                </c:pt>
                <c:pt idx="47">
                  <c:v>0.88862241887424309</c:v>
                </c:pt>
                <c:pt idx="48">
                  <c:v>0.99411402338186594</c:v>
                </c:pt>
                <c:pt idx="49">
                  <c:v>0.96508138140711752</c:v>
                </c:pt>
                <c:pt idx="50">
                  <c:v>1.0077098002911056</c:v>
                </c:pt>
                <c:pt idx="51">
                  <c:v>1.022368484581349</c:v>
                </c:pt>
                <c:pt idx="52">
                  <c:v>0.85931188393201019</c:v>
                </c:pt>
                <c:pt idx="53">
                  <c:v>0.85728735626201624</c:v>
                </c:pt>
                <c:pt idx="54">
                  <c:v>0.89328542861875626</c:v>
                </c:pt>
                <c:pt idx="55">
                  <c:v>0.97940229228908171</c:v>
                </c:pt>
                <c:pt idx="56">
                  <c:v>0.91712172200960862</c:v>
                </c:pt>
                <c:pt idx="57">
                  <c:v>0.88087342815688452</c:v>
                </c:pt>
                <c:pt idx="58">
                  <c:v>0.96716266608594104</c:v>
                </c:pt>
                <c:pt idx="59">
                  <c:v>0.921978706787007</c:v>
                </c:pt>
                <c:pt idx="60">
                  <c:v>0.89484475725856449</c:v>
                </c:pt>
                <c:pt idx="61">
                  <c:v>0.88478524754314336</c:v>
                </c:pt>
                <c:pt idx="62">
                  <c:v>0.85605137262527498</c:v>
                </c:pt>
                <c:pt idx="63">
                  <c:v>0.91173752177075418</c:v>
                </c:pt>
                <c:pt idx="64">
                  <c:v>0.90819178664518441</c:v>
                </c:pt>
                <c:pt idx="65">
                  <c:v>1.0880754805257395</c:v>
                </c:pt>
                <c:pt idx="66">
                  <c:v>1.0717589780572567</c:v>
                </c:pt>
                <c:pt idx="67">
                  <c:v>1.0795523933985935</c:v>
                </c:pt>
                <c:pt idx="68">
                  <c:v>1.1541651354941316</c:v>
                </c:pt>
                <c:pt idx="69">
                  <c:v>1.1910707368494395</c:v>
                </c:pt>
                <c:pt idx="70">
                  <c:v>1.248306472632148</c:v>
                </c:pt>
                <c:pt idx="71">
                  <c:v>1.2511366960510604</c:v>
                </c:pt>
                <c:pt idx="72">
                  <c:v>1.2563131224865178</c:v>
                </c:pt>
                <c:pt idx="73">
                  <c:v>1.2541483188862015</c:v>
                </c:pt>
                <c:pt idx="74">
                  <c:v>1.3125228856784161</c:v>
                </c:pt>
                <c:pt idx="75">
                  <c:v>1.3958705343497404</c:v>
                </c:pt>
                <c:pt idx="76">
                  <c:v>1.3490286441117982</c:v>
                </c:pt>
                <c:pt idx="77">
                  <c:v>1.4829886293140124</c:v>
                </c:pt>
                <c:pt idx="78">
                  <c:v>1.5143212598828908</c:v>
                </c:pt>
                <c:pt idx="79">
                  <c:v>1.4470691034763767</c:v>
                </c:pt>
                <c:pt idx="80">
                  <c:v>1.4940635338850039</c:v>
                </c:pt>
                <c:pt idx="81">
                  <c:v>1.4777890891136269</c:v>
                </c:pt>
                <c:pt idx="82">
                  <c:v>1.4571916430641323</c:v>
                </c:pt>
                <c:pt idx="83">
                  <c:v>1.4078338129772914</c:v>
                </c:pt>
                <c:pt idx="84">
                  <c:v>1.4300586427480941</c:v>
                </c:pt>
                <c:pt idx="85">
                  <c:v>1.4682239177111578</c:v>
                </c:pt>
                <c:pt idx="86">
                  <c:v>1.3891216543254348</c:v>
                </c:pt>
                <c:pt idx="87">
                  <c:v>1.2644273673722921</c:v>
                </c:pt>
                <c:pt idx="88">
                  <c:v>1.0031379610128655</c:v>
                </c:pt>
                <c:pt idx="89">
                  <c:v>1.2414800559888364</c:v>
                </c:pt>
                <c:pt idx="90">
                  <c:v>1.1958408225111596</c:v>
                </c:pt>
                <c:pt idx="91">
                  <c:v>1.1115476585750308</c:v>
                </c:pt>
                <c:pt idx="92">
                  <c:v>1.2187880835546965</c:v>
                </c:pt>
                <c:pt idx="93">
                  <c:v>1.1932244139714547</c:v>
                </c:pt>
                <c:pt idx="94">
                  <c:v>1.1960390060031465</c:v>
                </c:pt>
                <c:pt idx="95">
                  <c:v>1.160673979545791</c:v>
                </c:pt>
                <c:pt idx="96">
                  <c:v>1.2000137305017602</c:v>
                </c:pt>
                <c:pt idx="97">
                  <c:v>1.2795510872148659</c:v>
                </c:pt>
                <c:pt idx="98">
                  <c:v>1.1878941220986803</c:v>
                </c:pt>
                <c:pt idx="99">
                  <c:v>1.1974014461067726</c:v>
                </c:pt>
                <c:pt idx="100">
                  <c:v>1.2237659180691784</c:v>
                </c:pt>
                <c:pt idx="101">
                  <c:v>1.18132703431581</c:v>
                </c:pt>
                <c:pt idx="102">
                  <c:v>1.123461057586302</c:v>
                </c:pt>
                <c:pt idx="103">
                  <c:v>1.1960068254357805</c:v>
                </c:pt>
                <c:pt idx="104">
                  <c:v>1.2156877053934292</c:v>
                </c:pt>
                <c:pt idx="105">
                  <c:v>1.1383157405929043</c:v>
                </c:pt>
                <c:pt idx="106">
                  <c:v>0.909923938459408</c:v>
                </c:pt>
                <c:pt idx="107">
                  <c:v>0.92181268871188404</c:v>
                </c:pt>
                <c:pt idx="108">
                  <c:v>0.96144786530575732</c:v>
                </c:pt>
                <c:pt idx="109">
                  <c:v>0.97807509390794745</c:v>
                </c:pt>
                <c:pt idx="110">
                  <c:v>1.0507994939878027</c:v>
                </c:pt>
                <c:pt idx="111">
                  <c:v>1.0373332738361702</c:v>
                </c:pt>
                <c:pt idx="112">
                  <c:v>1.0647025548048952</c:v>
                </c:pt>
                <c:pt idx="113">
                  <c:v>1.0690172985908137</c:v>
                </c:pt>
                <c:pt idx="114">
                  <c:v>1.0441030286746145</c:v>
                </c:pt>
                <c:pt idx="115">
                  <c:v>1.0290070821656949</c:v>
                </c:pt>
                <c:pt idx="116">
                  <c:v>1.0494274577196401</c:v>
                </c:pt>
                <c:pt idx="117">
                  <c:v>1.005814586986715</c:v>
                </c:pt>
                <c:pt idx="118">
                  <c:v>1.0781680023147271</c:v>
                </c:pt>
                <c:pt idx="119">
                  <c:v>1.0743235388335579</c:v>
                </c:pt>
                <c:pt idx="120">
                  <c:v>0.91416991792428981</c:v>
                </c:pt>
                <c:pt idx="121">
                  <c:v>0.85698716318901813</c:v>
                </c:pt>
                <c:pt idx="122">
                  <c:v>0.82059156933832733</c:v>
                </c:pt>
                <c:pt idx="123">
                  <c:v>0.92038043860691932</c:v>
                </c:pt>
                <c:pt idx="124">
                  <c:v>0.86589542855305024</c:v>
                </c:pt>
                <c:pt idx="125">
                  <c:v>0.84405623303259336</c:v>
                </c:pt>
                <c:pt idx="126">
                  <c:v>0.83471921443994079</c:v>
                </c:pt>
                <c:pt idx="127">
                  <c:v>0.67810328896813066</c:v>
                </c:pt>
                <c:pt idx="128">
                  <c:v>0.83339549267611901</c:v>
                </c:pt>
                <c:pt idx="129">
                  <c:v>0.76317558082081682</c:v>
                </c:pt>
                <c:pt idx="130">
                  <c:v>0.8321673912908798</c:v>
                </c:pt>
                <c:pt idx="131">
                  <c:v>0.86650787888173941</c:v>
                </c:pt>
                <c:pt idx="132">
                  <c:v>0.76835438791862154</c:v>
                </c:pt>
                <c:pt idx="133">
                  <c:v>0.86365485689359422</c:v>
                </c:pt>
                <c:pt idx="134">
                  <c:v>0.82645322448348091</c:v>
                </c:pt>
                <c:pt idx="135">
                  <c:v>0.82140184866761934</c:v>
                </c:pt>
                <c:pt idx="136">
                  <c:v>0.8131881292198182</c:v>
                </c:pt>
                <c:pt idx="137">
                  <c:v>0.77820318712164338</c:v>
                </c:pt>
                <c:pt idx="138">
                  <c:v>0.83148588059086748</c:v>
                </c:pt>
                <c:pt idx="139">
                  <c:v>0.77976527062558254</c:v>
                </c:pt>
                <c:pt idx="140">
                  <c:v>0.83635140924150742</c:v>
                </c:pt>
                <c:pt idx="141">
                  <c:v>0.88985150946236802</c:v>
                </c:pt>
                <c:pt idx="142">
                  <c:v>0.82583579952581054</c:v>
                </c:pt>
                <c:pt idx="143">
                  <c:v>0.87291082786715746</c:v>
                </c:pt>
                <c:pt idx="144">
                  <c:v>0.8941655606617277</c:v>
                </c:pt>
                <c:pt idx="145">
                  <c:v>0.94310292088025838</c:v>
                </c:pt>
                <c:pt idx="146">
                  <c:v>1.0334625999620013</c:v>
                </c:pt>
                <c:pt idx="147">
                  <c:v>0.9283212649714907</c:v>
                </c:pt>
                <c:pt idx="148">
                  <c:v>0.96156478629015674</c:v>
                </c:pt>
                <c:pt idx="149">
                  <c:v>0.98090265540303556</c:v>
                </c:pt>
                <c:pt idx="150">
                  <c:v>0.92831973769900011</c:v>
                </c:pt>
                <c:pt idx="151">
                  <c:v>0.94058387979704339</c:v>
                </c:pt>
                <c:pt idx="152">
                  <c:v>1.0170678470529775</c:v>
                </c:pt>
                <c:pt idx="153">
                  <c:v>1.0415256917374134</c:v>
                </c:pt>
                <c:pt idx="154">
                  <c:v>0.98323280744330999</c:v>
                </c:pt>
                <c:pt idx="155">
                  <c:v>0.99087863036382851</c:v>
                </c:pt>
                <c:pt idx="156">
                  <c:v>0.90551476573869205</c:v>
                </c:pt>
                <c:pt idx="157">
                  <c:v>0.94366074796600485</c:v>
                </c:pt>
                <c:pt idx="158">
                  <c:v>1.1176649188260188</c:v>
                </c:pt>
                <c:pt idx="159">
                  <c:v>1.1437293793355074</c:v>
                </c:pt>
                <c:pt idx="160">
                  <c:v>1.2328496228126768</c:v>
                </c:pt>
                <c:pt idx="161">
                  <c:v>1.1235800176299853</c:v>
                </c:pt>
                <c:pt idx="162">
                  <c:v>1.0988755422514165</c:v>
                </c:pt>
                <c:pt idx="163">
                  <c:v>1.0419635513370082</c:v>
                </c:pt>
                <c:pt idx="164">
                  <c:v>0.73059822139999686</c:v>
                </c:pt>
                <c:pt idx="165">
                  <c:v>0.51186145149798823</c:v>
                </c:pt>
                <c:pt idx="166">
                  <c:v>0.51737896331955424</c:v>
                </c:pt>
                <c:pt idx="167">
                  <c:v>0.4777529522600088</c:v>
                </c:pt>
                <c:pt idx="168">
                  <c:v>0.53503095021228475</c:v>
                </c:pt>
                <c:pt idx="169">
                  <c:v>0.52733422092051396</c:v>
                </c:pt>
                <c:pt idx="170">
                  <c:v>0.48960724929749816</c:v>
                </c:pt>
                <c:pt idx="171">
                  <c:v>0.51276940437668905</c:v>
                </c:pt>
                <c:pt idx="172">
                  <c:v>0.56302546992936953</c:v>
                </c:pt>
                <c:pt idx="173">
                  <c:v>0.52265739119145893</c:v>
                </c:pt>
                <c:pt idx="174">
                  <c:v>0.63289948306357813</c:v>
                </c:pt>
                <c:pt idx="175">
                  <c:v>0.61794926681744022</c:v>
                </c:pt>
                <c:pt idx="176">
                  <c:v>0.58377166139292658</c:v>
                </c:pt>
                <c:pt idx="177">
                  <c:v>0.591198273709997</c:v>
                </c:pt>
                <c:pt idx="178">
                  <c:v>0.49345768594894973</c:v>
                </c:pt>
                <c:pt idx="179">
                  <c:v>0.45600192453722327</c:v>
                </c:pt>
                <c:pt idx="180">
                  <c:v>0.43696526161944649</c:v>
                </c:pt>
                <c:pt idx="181">
                  <c:v>0.43727004213437642</c:v>
                </c:pt>
                <c:pt idx="182">
                  <c:v>0.38078908810957762</c:v>
                </c:pt>
                <c:pt idx="183">
                  <c:v>0.40484547198153148</c:v>
                </c:pt>
                <c:pt idx="184">
                  <c:v>0.34354932222673695</c:v>
                </c:pt>
                <c:pt idx="185">
                  <c:v>0.35116161864786982</c:v>
                </c:pt>
                <c:pt idx="186">
                  <c:v>0.34384617467890183</c:v>
                </c:pt>
                <c:pt idx="187">
                  <c:v>0.32929039863831855</c:v>
                </c:pt>
                <c:pt idx="188">
                  <c:v>0.38145687347395474</c:v>
                </c:pt>
                <c:pt idx="189">
                  <c:v>0.32780609328060978</c:v>
                </c:pt>
                <c:pt idx="190">
                  <c:v>0.3248044410658732</c:v>
                </c:pt>
                <c:pt idx="191">
                  <c:v>0.33644298373391957</c:v>
                </c:pt>
                <c:pt idx="192">
                  <c:v>0.36589085936722787</c:v>
                </c:pt>
                <c:pt idx="193">
                  <c:v>0.3528458086457763</c:v>
                </c:pt>
                <c:pt idx="194">
                  <c:v>0.38809967810423368</c:v>
                </c:pt>
                <c:pt idx="195">
                  <c:v>0.37912054153422309</c:v>
                </c:pt>
                <c:pt idx="196">
                  <c:v>0.34804043908604415</c:v>
                </c:pt>
                <c:pt idx="197">
                  <c:v>0.35366114368517737</c:v>
                </c:pt>
                <c:pt idx="198">
                  <c:v>0.34178654330597397</c:v>
                </c:pt>
                <c:pt idx="199">
                  <c:v>0.32293360239599272</c:v>
                </c:pt>
                <c:pt idx="200">
                  <c:v>0.29928343345344366</c:v>
                </c:pt>
                <c:pt idx="201">
                  <c:v>0.30543092450595255</c:v>
                </c:pt>
                <c:pt idx="202">
                  <c:v>0.30038888657327451</c:v>
                </c:pt>
                <c:pt idx="203">
                  <c:v>0.2651257999674993</c:v>
                </c:pt>
                <c:pt idx="204">
                  <c:v>0.25020020013959382</c:v>
                </c:pt>
                <c:pt idx="205">
                  <c:v>0.33470222885278345</c:v>
                </c:pt>
                <c:pt idx="206">
                  <c:v>0.31446281353101668</c:v>
                </c:pt>
                <c:pt idx="207">
                  <c:v>0.302031507520933</c:v>
                </c:pt>
                <c:pt idx="208">
                  <c:v>0.33063863163527113</c:v>
                </c:pt>
                <c:pt idx="209">
                  <c:v>0.3507928104069411</c:v>
                </c:pt>
                <c:pt idx="210">
                  <c:v>0.39286636650045481</c:v>
                </c:pt>
                <c:pt idx="211">
                  <c:v>0.34989726603505139</c:v>
                </c:pt>
                <c:pt idx="212">
                  <c:v>0.3256075464781325</c:v>
                </c:pt>
                <c:pt idx="213">
                  <c:v>0.37322667377099444</c:v>
                </c:pt>
                <c:pt idx="214">
                  <c:v>0.32490983166200715</c:v>
                </c:pt>
                <c:pt idx="215">
                  <c:v>0.40677707913540945</c:v>
                </c:pt>
                <c:pt idx="216">
                  <c:v>0.40823081820578522</c:v>
                </c:pt>
                <c:pt idx="217">
                  <c:v>0.38881710664571068</c:v>
                </c:pt>
                <c:pt idx="218">
                  <c:v>0.30779345267329616</c:v>
                </c:pt>
                <c:pt idx="219">
                  <c:v>0.25216459777984185</c:v>
                </c:pt>
                <c:pt idx="220">
                  <c:v>0.24075776318201708</c:v>
                </c:pt>
                <c:pt idx="221">
                  <c:v>0.20679462052132877</c:v>
                </c:pt>
                <c:pt idx="222">
                  <c:v>0.21961972625203788</c:v>
                </c:pt>
                <c:pt idx="223">
                  <c:v>0.19474590270469994</c:v>
                </c:pt>
                <c:pt idx="224">
                  <c:v>0.21977207986637604</c:v>
                </c:pt>
                <c:pt idx="225">
                  <c:v>0.21961099200071013</c:v>
                </c:pt>
                <c:pt idx="226">
                  <c:v>0.23965405112795723</c:v>
                </c:pt>
                <c:pt idx="227">
                  <c:v>0.22926661551451363</c:v>
                </c:pt>
                <c:pt idx="228">
                  <c:v>0.23844024393678956</c:v>
                </c:pt>
                <c:pt idx="229">
                  <c:v>0.25341834165686922</c:v>
                </c:pt>
                <c:pt idx="230">
                  <c:v>0.24353648524878543</c:v>
                </c:pt>
                <c:pt idx="231">
                  <c:v>0.20654113943473709</c:v>
                </c:pt>
                <c:pt idx="232">
                  <c:v>0.18028468510199136</c:v>
                </c:pt>
                <c:pt idx="233">
                  <c:v>0.16287327174551236</c:v>
                </c:pt>
                <c:pt idx="234">
                  <c:v>0.16965844340224248</c:v>
                </c:pt>
                <c:pt idx="235">
                  <c:v>0.17251828546731462</c:v>
                </c:pt>
                <c:pt idx="236">
                  <c:v>0.19023157244139993</c:v>
                </c:pt>
                <c:pt idx="237">
                  <c:v>0.1775596725086668</c:v>
                </c:pt>
                <c:pt idx="238">
                  <c:v>0.14885955320335484</c:v>
                </c:pt>
                <c:pt idx="239">
                  <c:v>0.1643115462398558</c:v>
                </c:pt>
                <c:pt idx="240">
                  <c:v>0.16791782742128442</c:v>
                </c:pt>
                <c:pt idx="241">
                  <c:v>0.15979709511121706</c:v>
                </c:pt>
                <c:pt idx="242">
                  <c:v>0.23726703920725484</c:v>
                </c:pt>
                <c:pt idx="243">
                  <c:v>0.18809545028338548</c:v>
                </c:pt>
                <c:pt idx="244">
                  <c:v>0.19849837570179557</c:v>
                </c:pt>
                <c:pt idx="245">
                  <c:v>0.24107700388873302</c:v>
                </c:pt>
                <c:pt idx="246">
                  <c:v>0.27012607591086291</c:v>
                </c:pt>
                <c:pt idx="247">
                  <c:v>0.27541041648317471</c:v>
                </c:pt>
                <c:pt idx="248">
                  <c:v>0.31401566168525918</c:v>
                </c:pt>
                <c:pt idx="249">
                  <c:v>0.28276656256586064</c:v>
                </c:pt>
                <c:pt idx="250">
                  <c:v>0.28487874906822691</c:v>
                </c:pt>
                <c:pt idx="251">
                  <c:v>0.26693985462521735</c:v>
                </c:pt>
                <c:pt idx="252">
                  <c:v>0.25807967740853954</c:v>
                </c:pt>
                <c:pt idx="253">
                  <c:v>0.16826981871232577</c:v>
                </c:pt>
                <c:pt idx="254">
                  <c:v>0.11976590059281775</c:v>
                </c:pt>
                <c:pt idx="255">
                  <c:v>0.10762553639586804</c:v>
                </c:pt>
                <c:pt idx="256">
                  <c:v>0.1181352401907295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07-41DC-9B66-A35EB0D6C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743599"/>
        <c:axId val="94246116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'TD3'!$M$4:$M$260</c15:sqref>
                        </c15:formulaRef>
                      </c:ext>
                    </c:extLst>
                    <c:numCache>
                      <c:formatCode>General</c:formatCode>
                      <c:ptCount val="257"/>
                      <c:pt idx="0" formatCode="0.00">
                        <c:v>1.0124597482576876</c:v>
                      </c:pt>
                      <c:pt idx="1">
                        <c:v>1.1694185314113072</c:v>
                      </c:pt>
                      <c:pt idx="2">
                        <c:v>1.1342984303882149</c:v>
                      </c:pt>
                      <c:pt idx="3">
                        <c:v>1.2084025195490344</c:v>
                      </c:pt>
                      <c:pt idx="4">
                        <c:v>1.2036602278052373</c:v>
                      </c:pt>
                      <c:pt idx="5">
                        <c:v>1.1641873290185565</c:v>
                      </c:pt>
                      <c:pt idx="6">
                        <c:v>1.0908132668920325</c:v>
                      </c:pt>
                      <c:pt idx="7">
                        <c:v>1.0443222439326347</c:v>
                      </c:pt>
                      <c:pt idx="8">
                        <c:v>1.0060906352298222</c:v>
                      </c:pt>
                      <c:pt idx="9">
                        <c:v>0.87088442678680034</c:v>
                      </c:pt>
                      <c:pt idx="10">
                        <c:v>0.89666971771170723</c:v>
                      </c:pt>
                      <c:pt idx="11">
                        <c:v>0.90726153168605295</c:v>
                      </c:pt>
                      <c:pt idx="12">
                        <c:v>0.94133184194296515</c:v>
                      </c:pt>
                      <c:pt idx="13">
                        <c:v>0.91392959626235093</c:v>
                      </c:pt>
                      <c:pt idx="14">
                        <c:v>1.0663863106221032</c:v>
                      </c:pt>
                      <c:pt idx="15">
                        <c:v>1.0420677478407812</c:v>
                      </c:pt>
                      <c:pt idx="16">
                        <c:v>1.1377936420227646</c:v>
                      </c:pt>
                      <c:pt idx="17">
                        <c:v>1.0730644429708573</c:v>
                      </c:pt>
                      <c:pt idx="18">
                        <c:v>1.041004867979868</c:v>
                      </c:pt>
                      <c:pt idx="19">
                        <c:v>1.0659094955321953</c:v>
                      </c:pt>
                      <c:pt idx="20">
                        <c:v>1.0453406276338522</c:v>
                      </c:pt>
                      <c:pt idx="21">
                        <c:v>0.9840513924299692</c:v>
                      </c:pt>
                      <c:pt idx="22">
                        <c:v>1.0040090642016306</c:v>
                      </c:pt>
                      <c:pt idx="23">
                        <c:v>0.99953712514972792</c:v>
                      </c:pt>
                      <c:pt idx="24">
                        <c:v>0.97721209425118716</c:v>
                      </c:pt>
                      <c:pt idx="25">
                        <c:v>0.90934913151601648</c:v>
                      </c:pt>
                      <c:pt idx="26">
                        <c:v>0.89429630137324589</c:v>
                      </c:pt>
                      <c:pt idx="27">
                        <c:v>1.0046433000079076</c:v>
                      </c:pt>
                      <c:pt idx="28">
                        <c:v>0.89246767413838934</c:v>
                      </c:pt>
                      <c:pt idx="29">
                        <c:v>0.91244296546478254</c:v>
                      </c:pt>
                      <c:pt idx="30">
                        <c:v>0.8188116572286972</c:v>
                      </c:pt>
                      <c:pt idx="31">
                        <c:v>0.76716357111081446</c:v>
                      </c:pt>
                      <c:pt idx="32">
                        <c:v>0.7785407594400946</c:v>
                      </c:pt>
                      <c:pt idx="33">
                        <c:v>0.83716456989670152</c:v>
                      </c:pt>
                      <c:pt idx="34">
                        <c:v>0.83089725789115287</c:v>
                      </c:pt>
                      <c:pt idx="35">
                        <c:v>0.78924402705898133</c:v>
                      </c:pt>
                      <c:pt idx="36">
                        <c:v>0.83881879236747259</c:v>
                      </c:pt>
                      <c:pt idx="37">
                        <c:v>0.80810541411508297</c:v>
                      </c:pt>
                      <c:pt idx="38">
                        <c:v>0.81634818365018813</c:v>
                      </c:pt>
                      <c:pt idx="39">
                        <c:v>0.87086771472323976</c:v>
                      </c:pt>
                      <c:pt idx="40">
                        <c:v>0.82470444561836387</c:v>
                      </c:pt>
                      <c:pt idx="41">
                        <c:v>0.80387738000941633</c:v>
                      </c:pt>
                      <c:pt idx="42">
                        <c:v>0.93295659612380133</c:v>
                      </c:pt>
                      <c:pt idx="43">
                        <c:v>1.0239051749756962</c:v>
                      </c:pt>
                      <c:pt idx="44">
                        <c:v>0.90506771726206958</c:v>
                      </c:pt>
                      <c:pt idx="45">
                        <c:v>1.0248868559410558</c:v>
                      </c:pt>
                      <c:pt idx="46">
                        <c:v>0.94690406842058217</c:v>
                      </c:pt>
                      <c:pt idx="47">
                        <c:v>0.87643558187184467</c:v>
                      </c:pt>
                      <c:pt idx="48">
                        <c:v>0.98000145149476492</c:v>
                      </c:pt>
                      <c:pt idx="49">
                        <c:v>0.9513730546293494</c:v>
                      </c:pt>
                      <c:pt idx="50">
                        <c:v>0.99532098177923356</c:v>
                      </c:pt>
                      <c:pt idx="51">
                        <c:v>1.0104987479830947</c:v>
                      </c:pt>
                      <c:pt idx="52">
                        <c:v>0.84252089723965318</c:v>
                      </c:pt>
                      <c:pt idx="53">
                        <c:v>0.84109772104079805</c:v>
                      </c:pt>
                      <c:pt idx="54">
                        <c:v>0.87737091206331763</c:v>
                      </c:pt>
                      <c:pt idx="55">
                        <c:v>0.96354525038762284</c:v>
                      </c:pt>
                      <c:pt idx="56">
                        <c:v>0.90104251850817496</c:v>
                      </c:pt>
                      <c:pt idx="57">
                        <c:v>0.86509325485807465</c:v>
                      </c:pt>
                      <c:pt idx="58">
                        <c:v>0.95026424998550363</c:v>
                      </c:pt>
                      <c:pt idx="59">
                        <c:v>0.90523948935599663</c:v>
                      </c:pt>
                      <c:pt idx="60">
                        <c:v>0.88093857753589699</c:v>
                      </c:pt>
                      <c:pt idx="61">
                        <c:v>0.87145834373994679</c:v>
                      </c:pt>
                      <c:pt idx="62">
                        <c:v>0.84313665661455905</c:v>
                      </c:pt>
                      <c:pt idx="63">
                        <c:v>0.90045735955085549</c:v>
                      </c:pt>
                      <c:pt idx="64">
                        <c:v>0.89750822703651656</c:v>
                      </c:pt>
                      <c:pt idx="65">
                        <c:v>1.0713216037372115</c:v>
                      </c:pt>
                      <c:pt idx="66">
                        <c:v>1.0555128154353091</c:v>
                      </c:pt>
                      <c:pt idx="67">
                        <c:v>1.0649503241894795</c:v>
                      </c:pt>
                      <c:pt idx="68">
                        <c:v>1.1391851994550706</c:v>
                      </c:pt>
                      <c:pt idx="69">
                        <c:v>1.1764071633331283</c:v>
                      </c:pt>
                      <c:pt idx="70">
                        <c:v>1.2336907015275878</c:v>
                      </c:pt>
                      <c:pt idx="71">
                        <c:v>1.2370168737615004</c:v>
                      </c:pt>
                      <c:pt idx="72">
                        <c:v>1.24367713325153</c:v>
                      </c:pt>
                      <c:pt idx="73">
                        <c:v>1.2420075653255132</c:v>
                      </c:pt>
                      <c:pt idx="74">
                        <c:v>1.3004368249994298</c:v>
                      </c:pt>
                      <c:pt idx="75">
                        <c:v>1.3834540222229239</c:v>
                      </c:pt>
                      <c:pt idx="76">
                        <c:v>1.336841904109362</c:v>
                      </c:pt>
                      <c:pt idx="77">
                        <c:v>1.4702125692002226</c:v>
                      </c:pt>
                      <c:pt idx="78">
                        <c:v>1.5018686613474899</c:v>
                      </c:pt>
                      <c:pt idx="79">
                        <c:v>1.4346404916500319</c:v>
                      </c:pt>
                      <c:pt idx="80">
                        <c:v>1.4818471781286577</c:v>
                      </c:pt>
                      <c:pt idx="81">
                        <c:v>1.4659685444297146</c:v>
                      </c:pt>
                      <c:pt idx="82">
                        <c:v>1.4466101611434208</c:v>
                      </c:pt>
                      <c:pt idx="83">
                        <c:v>1.397460282854331</c:v>
                      </c:pt>
                      <c:pt idx="84">
                        <c:v>1.4200729457107995</c:v>
                      </c:pt>
                      <c:pt idx="85">
                        <c:v>1.458524504951688</c:v>
                      </c:pt>
                      <c:pt idx="86">
                        <c:v>1.3792746503339812</c:v>
                      </c:pt>
                      <c:pt idx="87">
                        <c:v>1.254346942969192</c:v>
                      </c:pt>
                      <c:pt idx="88">
                        <c:v>0.98403960569672555</c:v>
                      </c:pt>
                      <c:pt idx="89">
                        <c:v>1.2134776040306514</c:v>
                      </c:pt>
                      <c:pt idx="90">
                        <c:v>1.1680807805733011</c:v>
                      </c:pt>
                      <c:pt idx="91">
                        <c:v>1.0833165031460439</c:v>
                      </c:pt>
                      <c:pt idx="92">
                        <c:v>1.1903948999272669</c:v>
                      </c:pt>
                      <c:pt idx="93">
                        <c:v>1.1652602870184434</c:v>
                      </c:pt>
                      <c:pt idx="94">
                        <c:v>1.1685903818401431</c:v>
                      </c:pt>
                      <c:pt idx="95">
                        <c:v>1.1335798899241576</c:v>
                      </c:pt>
                      <c:pt idx="96">
                        <c:v>1.1732191779707171</c:v>
                      </c:pt>
                      <c:pt idx="97">
                        <c:v>1.2534103031807191</c:v>
                      </c:pt>
                      <c:pt idx="98">
                        <c:v>1.1612284203672705</c:v>
                      </c:pt>
                      <c:pt idx="99">
                        <c:v>1.1712399673650915</c:v>
                      </c:pt>
                      <c:pt idx="100">
                        <c:v>1.1980200171315243</c:v>
                      </c:pt>
                      <c:pt idx="101">
                        <c:v>1.1558637516380847</c:v>
                      </c:pt>
                      <c:pt idx="102">
                        <c:v>1.0991455562922843</c:v>
                      </c:pt>
                      <c:pt idx="103">
                        <c:v>1.1714484064094419</c:v>
                      </c:pt>
                      <c:pt idx="104">
                        <c:v>1.1915881624398774</c:v>
                      </c:pt>
                      <c:pt idx="105">
                        <c:v>1.1139451871882051</c:v>
                      </c:pt>
                      <c:pt idx="106">
                        <c:v>0.87753692213780576</c:v>
                      </c:pt>
                      <c:pt idx="107">
                        <c:v>0.89125870493203729</c:v>
                      </c:pt>
                      <c:pt idx="108">
                        <c:v>0.93117693243567012</c:v>
                      </c:pt>
                      <c:pt idx="109">
                        <c:v>0.94835167616243865</c:v>
                      </c:pt>
                      <c:pt idx="110">
                        <c:v>1.0206823342376636</c:v>
                      </c:pt>
                      <c:pt idx="111">
                        <c:v>1.0077630616153648</c:v>
                      </c:pt>
                      <c:pt idx="112">
                        <c:v>1.0367156088086882</c:v>
                      </c:pt>
                      <c:pt idx="113">
                        <c:v>1.0415941359155922</c:v>
                      </c:pt>
                      <c:pt idx="114">
                        <c:v>1.0171529304761806</c:v>
                      </c:pt>
                      <c:pt idx="115">
                        <c:v>1.0026000590624571</c:v>
                      </c:pt>
                      <c:pt idx="116">
                        <c:v>1.0235250849056918</c:v>
                      </c:pt>
                      <c:pt idx="117">
                        <c:v>0.98135794197338022</c:v>
                      </c:pt>
                      <c:pt idx="118">
                        <c:v>1.053375437996467</c:v>
                      </c:pt>
                      <c:pt idx="119">
                        <c:v>1.0500935946222272</c:v>
                      </c:pt>
                      <c:pt idx="120">
                        <c:v>0.88610426505736883</c:v>
                      </c:pt>
                      <c:pt idx="121">
                        <c:v>0.82885676489792459</c:v>
                      </c:pt>
                      <c:pt idx="122">
                        <c:v>0.79414327798337092</c:v>
                      </c:pt>
                      <c:pt idx="123">
                        <c:v>0.8922100128111996</c:v>
                      </c:pt>
                      <c:pt idx="124">
                        <c:v>0.83773654871965397</c:v>
                      </c:pt>
                      <c:pt idx="125">
                        <c:v>0.81644617889740678</c:v>
                      </c:pt>
                      <c:pt idx="126">
                        <c:v>0.81042114762964279</c:v>
                      </c:pt>
                      <c:pt idx="127">
                        <c:v>0.64790149335746028</c:v>
                      </c:pt>
                      <c:pt idx="128">
                        <c:v>0.79660282384042391</c:v>
                      </c:pt>
                      <c:pt idx="129">
                        <c:v>0.72582071207376408</c:v>
                      </c:pt>
                      <c:pt idx="130">
                        <c:v>0.79555636064562674</c:v>
                      </c:pt>
                      <c:pt idx="131">
                        <c:v>0.83027560671076894</c:v>
                      </c:pt>
                      <c:pt idx="132">
                        <c:v>0.73048693514210516</c:v>
                      </c:pt>
                      <c:pt idx="133">
                        <c:v>0.82409609361126002</c:v>
                      </c:pt>
                      <c:pt idx="134">
                        <c:v>0.78724562917294894</c:v>
                      </c:pt>
                      <c:pt idx="135">
                        <c:v>0.78422606033722808</c:v>
                      </c:pt>
                      <c:pt idx="136">
                        <c:v>0.77667891118822829</c:v>
                      </c:pt>
                      <c:pt idx="137">
                        <c:v>0.74207735971831212</c:v>
                      </c:pt>
                      <c:pt idx="138">
                        <c:v>0.7953023100394836</c:v>
                      </c:pt>
                      <c:pt idx="139">
                        <c:v>0.74361160921523151</c:v>
                      </c:pt>
                      <c:pt idx="140">
                        <c:v>0.80141068962819761</c:v>
                      </c:pt>
                      <c:pt idx="141">
                        <c:v>0.85490959833670643</c:v>
                      </c:pt>
                      <c:pt idx="142">
                        <c:v>0.79066047183078381</c:v>
                      </c:pt>
                      <c:pt idx="143">
                        <c:v>0.8378793015862499</c:v>
                      </c:pt>
                      <c:pt idx="144">
                        <c:v>0.85968985469580939</c:v>
                      </c:pt>
                      <c:pt idx="145">
                        <c:v>0.9100397823971087</c:v>
                      </c:pt>
                      <c:pt idx="146">
                        <c:v>1.0001046970744216</c:v>
                      </c:pt>
                      <c:pt idx="147">
                        <c:v>0.89369808734327694</c:v>
                      </c:pt>
                      <c:pt idx="148">
                        <c:v>0.92735399687025999</c:v>
                      </c:pt>
                      <c:pt idx="149">
                        <c:v>0.94846896284474747</c:v>
                      </c:pt>
                      <c:pt idx="150">
                        <c:v>0.89601594685255614</c:v>
                      </c:pt>
                      <c:pt idx="151">
                        <c:v>0.90888535260402792</c:v>
                      </c:pt>
                      <c:pt idx="152">
                        <c:v>0.98490801254579696</c:v>
                      </c:pt>
                      <c:pt idx="153">
                        <c:v>1.0098534682187341</c:v>
                      </c:pt>
                      <c:pt idx="154">
                        <c:v>0.95282517836418423</c:v>
                      </c:pt>
                      <c:pt idx="155">
                        <c:v>0.9610695582312847</c:v>
                      </c:pt>
                      <c:pt idx="156">
                        <c:v>0.87503831583711755</c:v>
                      </c:pt>
                      <c:pt idx="157">
                        <c:v>0.91353502890986271</c:v>
                      </c:pt>
                      <c:pt idx="158">
                        <c:v>1.0829729545281903</c:v>
                      </c:pt>
                      <c:pt idx="159">
                        <c:v>1.1105398698211897</c:v>
                      </c:pt>
                      <c:pt idx="160">
                        <c:v>1.1991871712291458</c:v>
                      </c:pt>
                      <c:pt idx="161">
                        <c:v>1.0890754637348841</c:v>
                      </c:pt>
                      <c:pt idx="162">
                        <c:v>1.0648348872277491</c:v>
                      </c:pt>
                      <c:pt idx="163">
                        <c:v>1.0080354362858353</c:v>
                      </c:pt>
                      <c:pt idx="164">
                        <c:v>0.68103944695431551</c:v>
                      </c:pt>
                      <c:pt idx="165">
                        <c:v>0.4470234618125184</c:v>
                      </c:pt>
                      <c:pt idx="166">
                        <c:v>0.45336266952600923</c:v>
                      </c:pt>
                      <c:pt idx="167">
                        <c:v>0.41380687749806677</c:v>
                      </c:pt>
                      <c:pt idx="168">
                        <c:v>0.47025332385950808</c:v>
                      </c:pt>
                      <c:pt idx="169">
                        <c:v>0.46505327258579487</c:v>
                      </c:pt>
                      <c:pt idx="170">
                        <c:v>0.42749767174829834</c:v>
                      </c:pt>
                      <c:pt idx="171">
                        <c:v>0.45123645067796503</c:v>
                      </c:pt>
                      <c:pt idx="172">
                        <c:v>0.501159896309466</c:v>
                      </c:pt>
                      <c:pt idx="173">
                        <c:v>0.46093045055664539</c:v>
                      </c:pt>
                      <c:pt idx="174">
                        <c:v>0.56842210925855219</c:v>
                      </c:pt>
                      <c:pt idx="175">
                        <c:v>0.55420904901596246</c:v>
                      </c:pt>
                      <c:pt idx="176">
                        <c:v>0.52042580975743058</c:v>
                      </c:pt>
                      <c:pt idx="177">
                        <c:v>0.52866338984450245</c:v>
                      </c:pt>
                      <c:pt idx="178">
                        <c:v>0.427740990333001</c:v>
                      </c:pt>
                      <c:pt idx="179">
                        <c:v>0.3922096661302264</c:v>
                      </c:pt>
                      <c:pt idx="180">
                        <c:v>0.37385821264885666</c:v>
                      </c:pt>
                      <c:pt idx="181">
                        <c:v>0.37505632048066528</c:v>
                      </c:pt>
                      <c:pt idx="182">
                        <c:v>0.31745450195286484</c:v>
                      </c:pt>
                      <c:pt idx="183">
                        <c:v>0.34200253978281037</c:v>
                      </c:pt>
                      <c:pt idx="184">
                        <c:v>0.28078701571039993</c:v>
                      </c:pt>
                      <c:pt idx="185">
                        <c:v>0.28926068088844165</c:v>
                      </c:pt>
                      <c:pt idx="186">
                        <c:v>0.28281782979132369</c:v>
                      </c:pt>
                      <c:pt idx="187">
                        <c:v>0.26900381270337753</c:v>
                      </c:pt>
                      <c:pt idx="188">
                        <c:v>0.31987968153586011</c:v>
                      </c:pt>
                      <c:pt idx="189">
                        <c:v>0.2668345486964257</c:v>
                      </c:pt>
                      <c:pt idx="190">
                        <c:v>0.26475207387219629</c:v>
                      </c:pt>
                      <c:pt idx="191">
                        <c:v>0.2771991631789914</c:v>
                      </c:pt>
                      <c:pt idx="192">
                        <c:v>0.30687247790410022</c:v>
                      </c:pt>
                      <c:pt idx="193">
                        <c:v>0.29463840983210332</c:v>
                      </c:pt>
                      <c:pt idx="194">
                        <c:v>0.33175225793106494</c:v>
                      </c:pt>
                      <c:pt idx="195">
                        <c:v>0.32366617436937345</c:v>
                      </c:pt>
                      <c:pt idx="196">
                        <c:v>0.29282537495871791</c:v>
                      </c:pt>
                      <c:pt idx="197">
                        <c:v>0.29937326427483724</c:v>
                      </c:pt>
                      <c:pt idx="198">
                        <c:v>0.28834610949898898</c:v>
                      </c:pt>
                      <c:pt idx="199">
                        <c:v>0.27209317022275464</c:v>
                      </c:pt>
                      <c:pt idx="200">
                        <c:v>0.24890319506306055</c:v>
                      </c:pt>
                      <c:pt idx="201">
                        <c:v>0.25597710738438101</c:v>
                      </c:pt>
                      <c:pt idx="202">
                        <c:v>0.25188049950181113</c:v>
                      </c:pt>
                      <c:pt idx="203">
                        <c:v>0.21632238689756944</c:v>
                      </c:pt>
                      <c:pt idx="204">
                        <c:v>0.20403191762933681</c:v>
                      </c:pt>
                      <c:pt idx="205">
                        <c:v>0.28201657682219083</c:v>
                      </c:pt>
                      <c:pt idx="206">
                        <c:v>0.26242018292879754</c:v>
                      </c:pt>
                      <c:pt idx="207">
                        <c:v>0.25084132810277243</c:v>
                      </c:pt>
                      <c:pt idx="208">
                        <c:v>0.27968733015053998</c:v>
                      </c:pt>
                      <c:pt idx="209">
                        <c:v>0.30250448013133102</c:v>
                      </c:pt>
                      <c:pt idx="210">
                        <c:v>0.34426167480741621</c:v>
                      </c:pt>
                      <c:pt idx="211">
                        <c:v>0.30100352051642693</c:v>
                      </c:pt>
                      <c:pt idx="212">
                        <c:v>0.27725782195037435</c:v>
                      </c:pt>
                      <c:pt idx="213">
                        <c:v>0.32405225831066264</c:v>
                      </c:pt>
                      <c:pt idx="214">
                        <c:v>0.27705263649869755</c:v>
                      </c:pt>
                      <c:pt idx="215">
                        <c:v>0.35474551357509387</c:v>
                      </c:pt>
                      <c:pt idx="216">
                        <c:v>0.35722027607836593</c:v>
                      </c:pt>
                      <c:pt idx="217">
                        <c:v>0.3385940410156254</c:v>
                      </c:pt>
                      <c:pt idx="218">
                        <c:v>0.2537102115822828</c:v>
                      </c:pt>
                      <c:pt idx="219">
                        <c:v>0.19812492537353299</c:v>
                      </c:pt>
                      <c:pt idx="220">
                        <c:v>0.18760409508623122</c:v>
                      </c:pt>
                      <c:pt idx="221">
                        <c:v>0.1531239370892043</c:v>
                      </c:pt>
                      <c:pt idx="222">
                        <c:v>0.16672555936371974</c:v>
                      </c:pt>
                      <c:pt idx="223">
                        <c:v>0.14196160247345696</c:v>
                      </c:pt>
                      <c:pt idx="224">
                        <c:v>0.16908355871285713</c:v>
                      </c:pt>
                      <c:pt idx="225">
                        <c:v>0.16997601431311363</c:v>
                      </c:pt>
                      <c:pt idx="226">
                        <c:v>0.19053651053293336</c:v>
                      </c:pt>
                      <c:pt idx="227">
                        <c:v>0.18108705510413958</c:v>
                      </c:pt>
                      <c:pt idx="228">
                        <c:v>0.1912266552872825</c:v>
                      </c:pt>
                      <c:pt idx="229">
                        <c:v>0.2092016695810405</c:v>
                      </c:pt>
                      <c:pt idx="230">
                        <c:v>0.20031168387464823</c:v>
                      </c:pt>
                      <c:pt idx="231">
                        <c:v>0.16261032216842072</c:v>
                      </c:pt>
                      <c:pt idx="232">
                        <c:v>0.1363285661414487</c:v>
                      </c:pt>
                      <c:pt idx="233">
                        <c:v>0.11940661131292046</c:v>
                      </c:pt>
                      <c:pt idx="234">
                        <c:v>0.12923934196360909</c:v>
                      </c:pt>
                      <c:pt idx="235">
                        <c:v>0.13315178040526163</c:v>
                      </c:pt>
                      <c:pt idx="236">
                        <c:v>0.15138901907293484</c:v>
                      </c:pt>
                      <c:pt idx="237">
                        <c:v>0.13954460301110214</c:v>
                      </c:pt>
                      <c:pt idx="238">
                        <c:v>0.11032226148672161</c:v>
                      </c:pt>
                      <c:pt idx="239">
                        <c:v>0.12846369874190827</c:v>
                      </c:pt>
                      <c:pt idx="240">
                        <c:v>0.13314670564374703</c:v>
                      </c:pt>
                      <c:pt idx="241">
                        <c:v>0.1260041579613948</c:v>
                      </c:pt>
                      <c:pt idx="242">
                        <c:v>0.19458400955620492</c:v>
                      </c:pt>
                      <c:pt idx="243">
                        <c:v>0.14323829319154577</c:v>
                      </c:pt>
                      <c:pt idx="244">
                        <c:v>0.15697380782535805</c:v>
                      </c:pt>
                      <c:pt idx="245">
                        <c:v>0.19816019199278015</c:v>
                      </c:pt>
                      <c:pt idx="246">
                        <c:v>0.22745405683516248</c:v>
                      </c:pt>
                      <c:pt idx="247">
                        <c:v>0.23394717190899833</c:v>
                      </c:pt>
                      <c:pt idx="248">
                        <c:v>0.27234491696201901</c:v>
                      </c:pt>
                      <c:pt idx="249">
                        <c:v>0.24395104353881275</c:v>
                      </c:pt>
                      <c:pt idx="250">
                        <c:v>0.24732620962035756</c:v>
                      </c:pt>
                      <c:pt idx="251">
                        <c:v>0.23033383989633233</c:v>
                      </c:pt>
                      <c:pt idx="252">
                        <c:v>0.22266914045519592</c:v>
                      </c:pt>
                      <c:pt idx="253">
                        <c:v>0.12358575917317162</c:v>
                      </c:pt>
                      <c:pt idx="254">
                        <c:v>7.3509956418629063E-2</c:v>
                      </c:pt>
                      <c:pt idx="255">
                        <c:v>6.2063952465701101E-2</c:v>
                      </c:pt>
                      <c:pt idx="256">
                        <c:v>7.3368420592447511E-2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07-41DC-9B66-A35EB0D6C6FF}"/>
                  </c:ext>
                </c:extLst>
              </c15:ser>
            </c15:filteredLineSeries>
          </c:ext>
        </c:extLst>
      </c:lineChart>
      <c:catAx>
        <c:axId val="938743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2461167"/>
        <c:crosses val="autoZero"/>
        <c:auto val="1"/>
        <c:lblAlgn val="ctr"/>
        <c:lblOffset val="100"/>
        <c:noMultiLvlLbl val="0"/>
      </c:catAx>
      <c:valAx>
        <c:axId val="94246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874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516608</xdr:colOff>
      <xdr:row>8</xdr:row>
      <xdr:rowOff>110613</xdr:rowOff>
    </xdr:from>
    <xdr:to>
      <xdr:col>25</xdr:col>
      <xdr:colOff>122902</xdr:colOff>
      <xdr:row>39</xdr:row>
      <xdr:rowOff>98323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7723572-692C-922C-0E17-EF59F69377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786579</xdr:colOff>
      <xdr:row>2</xdr:row>
      <xdr:rowOff>233516</xdr:rowOff>
    </xdr:from>
    <xdr:to>
      <xdr:col>40</xdr:col>
      <xdr:colOff>319547</xdr:colOff>
      <xdr:row>31</xdr:row>
      <xdr:rowOff>159775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49C4BCD-C363-4DBD-9793-2C0EEB1B8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AC260"/>
  <sheetViews>
    <sheetView tabSelected="1" topLeftCell="N1" zoomScale="62" workbookViewId="0">
      <selection activeCell="AJ38" sqref="AJ38"/>
    </sheetView>
  </sheetViews>
  <sheetFormatPr defaultColWidth="11.5546875" defaultRowHeight="14.4" x14ac:dyDescent="0.3"/>
  <cols>
    <col min="3" max="4" width="11.5546875" style="5"/>
    <col min="9" max="9" width="11.5546875" style="8"/>
  </cols>
  <sheetData>
    <row r="2" spans="1:29" ht="28.2" customHeight="1" x14ac:dyDescent="0.3">
      <c r="C2" s="10" t="s">
        <v>2</v>
      </c>
      <c r="D2" s="10"/>
    </row>
    <row r="3" spans="1:29" s="1" customFormat="1" ht="28.8" x14ac:dyDescent="0.3">
      <c r="A3" s="1" t="s">
        <v>0</v>
      </c>
      <c r="B3" s="1" t="s">
        <v>1</v>
      </c>
      <c r="C3" s="6" t="s">
        <v>3</v>
      </c>
      <c r="D3" s="6" t="s">
        <v>4</v>
      </c>
      <c r="G3" s="1" t="s">
        <v>5</v>
      </c>
      <c r="I3" s="9" t="s">
        <v>6</v>
      </c>
      <c r="J3" s="1" t="s">
        <v>7</v>
      </c>
      <c r="K3" s="1" t="s">
        <v>10</v>
      </c>
      <c r="M3" s="1" t="s">
        <v>12</v>
      </c>
      <c r="V3" s="1" t="s">
        <v>8</v>
      </c>
      <c r="W3" s="1" t="s">
        <v>9</v>
      </c>
      <c r="X3" s="1" t="s">
        <v>11</v>
      </c>
      <c r="Z3" s="1" t="s">
        <v>13</v>
      </c>
      <c r="AA3" s="1" t="s">
        <v>14</v>
      </c>
      <c r="AC3" s="1" t="s">
        <v>15</v>
      </c>
    </row>
    <row r="4" spans="1:29" x14ac:dyDescent="0.3">
      <c r="A4" s="2">
        <v>43010</v>
      </c>
      <c r="B4">
        <v>6.742</v>
      </c>
      <c r="E4" s="2">
        <v>43465</v>
      </c>
      <c r="G4">
        <f>(E$4-A4)/365</f>
        <v>1.2465753424657535</v>
      </c>
      <c r="I4" s="8" cm="1">
        <f t="array" ref="I4">BSCall(B4,6,0,0.2,G4)</f>
        <v>1.0124597482576876</v>
      </c>
      <c r="J4" cm="1">
        <f t="array" ref="J4">DeltaC(B4,6,G4,0,0,0.2)</f>
        <v>0.73689569555690004</v>
      </c>
      <c r="K4" cm="1">
        <f t="array" ref="K4">GammaCP(B4,6,G4,0,0,0.2)</f>
        <v>0.21677156947164464</v>
      </c>
      <c r="M4" s="8">
        <f>I4</f>
        <v>1.0124597482576876</v>
      </c>
      <c r="V4" cm="1">
        <f t="array" ref="V4">BSCall(B4,6.5,0,0.2,G4)</f>
        <v>0.71743685959649195</v>
      </c>
      <c r="W4" cm="1">
        <f t="array" ref="W4">DeltaC(B4,6.5,G4,0,0,0.2)</f>
        <v>0.60847669366735491</v>
      </c>
      <c r="X4" cm="1">
        <f t="array" ref="X4">GammaCP(B4,6.5,G4,0,0,0.2)</f>
        <v>0.25513400877877562</v>
      </c>
      <c r="Z4">
        <f>K4/X4</f>
        <v>0.84963808043170475</v>
      </c>
      <c r="AA4">
        <f>J4-W4*Z4</f>
        <v>0.21991072556193814</v>
      </c>
      <c r="AC4" s="8">
        <f>I4</f>
        <v>1.0124597482576876</v>
      </c>
    </row>
    <row r="5" spans="1:29" x14ac:dyDescent="0.3">
      <c r="A5" s="2">
        <v>43011</v>
      </c>
      <c r="B5">
        <v>6.9550000000000001</v>
      </c>
      <c r="E5" s="7"/>
      <c r="G5">
        <f t="shared" ref="G5:G68" si="0">(E$4-A5)/365</f>
        <v>1.2438356164383562</v>
      </c>
      <c r="I5" s="8" cm="1">
        <f t="array" ref="I5">BSCall(B5,6,0,0.2,G5)</f>
        <v>1.1736318286956573</v>
      </c>
      <c r="J5" cm="1">
        <f t="array" ref="J5">DeltaC(B5,6,G5,0,0,0.2)</f>
        <v>0.78044668940205508</v>
      </c>
      <c r="K5" cm="1">
        <f t="array" ref="K5">GammaCP(B5,6,G5,0,0,0.2)</f>
        <v>0.19063983633347831</v>
      </c>
      <c r="M5">
        <f>M4+J4*(B5-B4)</f>
        <v>1.1694185314113072</v>
      </c>
      <c r="V5" cm="1">
        <f t="array" ref="V5">BSCall(B5,6.5,0,0.2,G5)</f>
        <v>0.85206310495764592</v>
      </c>
      <c r="W5" cm="1">
        <f t="array" ref="W5">DeltaC(B5,6.5,G5,0,0,0.2)</f>
        <v>0.66087593952268608</v>
      </c>
      <c r="X5" cm="1">
        <f t="array" ref="X5">GammaCP(B5,6.5,G5,0,0,0.2)</f>
        <v>0.23595511897927676</v>
      </c>
      <c r="Z5">
        <f t="shared" ref="Z5:Z68" si="1">K5/X5</f>
        <v>0.80794956752017588</v>
      </c>
      <c r="AA5">
        <f t="shared" ref="AA5:AA68" si="2">J5-W5*Z5</f>
        <v>0.24649225988021095</v>
      </c>
      <c r="AC5">
        <f>AC4+AA4*(B5-B4)+Z4*(V5-V4)</f>
        <v>1.1736843174867591</v>
      </c>
    </row>
    <row r="6" spans="1:29" x14ac:dyDescent="0.3">
      <c r="A6" s="2">
        <v>43012</v>
      </c>
      <c r="B6">
        <v>6.91</v>
      </c>
      <c r="C6" s="5">
        <v>1.0209600000000001</v>
      </c>
      <c r="D6" s="5">
        <v>0.59092999999999996</v>
      </c>
      <c r="E6" s="7"/>
      <c r="G6">
        <f t="shared" si="0"/>
        <v>1.2410958904109588</v>
      </c>
      <c r="I6" s="8" cm="1">
        <f t="array" ref="I6">BSCall(B6,6,0,0.2,G6)</f>
        <v>1.1381932005639088</v>
      </c>
      <c r="J6" cm="1">
        <f t="array" ref="J6">DeltaC(B6,6,G6,0,0,0.2)</f>
        <v>0.77191759542520433</v>
      </c>
      <c r="K6" cm="1">
        <f t="array" ref="K6">GammaCP(B6,6,G6,0,0,0.2)</f>
        <v>0.19629985397911925</v>
      </c>
      <c r="M6">
        <f t="shared" ref="M6:M69" si="3">M5+J5*(B6-B5)</f>
        <v>1.1342984303882149</v>
      </c>
      <c r="V6" cm="1">
        <f t="array" ref="V6">BSCall(B6,6.5,0,0.2,G6)</f>
        <v>0.82193509477288673</v>
      </c>
      <c r="W6" cm="1">
        <f t="array" ref="W6">DeltaC(B6,6.5,G6,0,0,0.2)</f>
        <v>0.65022693110466423</v>
      </c>
      <c r="X6" cm="1">
        <f t="array" ref="X6">GammaCP(B6,6.5,G6,0,0,0.2)</f>
        <v>0.24052292685730844</v>
      </c>
      <c r="Z6">
        <f t="shared" si="1"/>
        <v>0.81613780666977842</v>
      </c>
      <c r="AA6">
        <f t="shared" si="2"/>
        <v>0.24124281403582259</v>
      </c>
      <c r="AC6">
        <f t="shared" ref="AC6:AC69" si="4">AC5+AA5*(B6-B5)+Z5*(V6-V5)</f>
        <v>1.13825025299313</v>
      </c>
    </row>
    <row r="7" spans="1:29" x14ac:dyDescent="0.3">
      <c r="A7" s="2">
        <v>43013</v>
      </c>
      <c r="B7">
        <v>7.0060000000000002</v>
      </c>
      <c r="C7" s="5">
        <v>1.0993200000000001</v>
      </c>
      <c r="D7" s="5">
        <v>0.65885000000000005</v>
      </c>
      <c r="E7" s="7"/>
      <c r="G7">
        <f t="shared" si="0"/>
        <v>1.2383561643835617</v>
      </c>
      <c r="I7" s="8" cm="1">
        <f t="array" ref="I7">BSCall(B7,6,0,0.2,G7)</f>
        <v>1.2126872613515687</v>
      </c>
      <c r="J7" cm="1">
        <f t="array" ref="J7">DeltaC(B7,6,G7,0,0,0.2)</f>
        <v>0.79038195729950678</v>
      </c>
      <c r="K7" cm="1">
        <f t="array" ref="K7">GammaCP(B7,6,G7,0,0,0.2)</f>
        <v>0.18463252416835765</v>
      </c>
      <c r="M7">
        <f t="shared" si="3"/>
        <v>1.2084025195490344</v>
      </c>
      <c r="V7" cm="1">
        <f t="array" ref="V7">BSCall(B7,6.5,0,0.2,G7)</f>
        <v>0.88482893888306569</v>
      </c>
      <c r="W7" cm="1">
        <f t="array" ref="W7">DeltaC(B7,6.5,G7,0,0,0.2)</f>
        <v>0.67296181012442391</v>
      </c>
      <c r="X7" cm="1">
        <f t="array" ref="X7">GammaCP(B7,6.5,G7,0,0,0.2)</f>
        <v>0.23141106449298499</v>
      </c>
      <c r="Z7">
        <f t="shared" si="1"/>
        <v>0.79785521307238372</v>
      </c>
      <c r="AA7">
        <f t="shared" si="2"/>
        <v>0.25345586889310745</v>
      </c>
      <c r="AC7">
        <f t="shared" si="4"/>
        <v>1.2127396071256813</v>
      </c>
    </row>
    <row r="8" spans="1:29" x14ac:dyDescent="0.3">
      <c r="A8" s="2">
        <v>43014</v>
      </c>
      <c r="B8">
        <v>7</v>
      </c>
      <c r="C8" s="5">
        <v>1.0930599999999999</v>
      </c>
      <c r="D8" s="5">
        <v>0.65439999999999998</v>
      </c>
      <c r="E8" s="7"/>
      <c r="G8">
        <f t="shared" si="0"/>
        <v>1.2356164383561643</v>
      </c>
      <c r="I8" s="8" cm="1">
        <f t="array" ref="I8">BSCall(B8,6,0,0.2,G8)</f>
        <v>1.2074504586409462</v>
      </c>
      <c r="J8" cm="1">
        <f t="array" ref="J8">DeltaC(B8,6,G8,0,0,0.2)</f>
        <v>0.78945797573362053</v>
      </c>
      <c r="K8" cm="1">
        <f t="array" ref="K8">GammaCP(B8,6,G8,0,0,0.2)</f>
        <v>0.18547417173165653</v>
      </c>
      <c r="M8">
        <f t="shared" si="3"/>
        <v>1.2036602278052373</v>
      </c>
      <c r="V8" cm="1">
        <f t="array" ref="V8">BSCall(B8,6.5,0,0.2,G8)</f>
        <v>0.88017210164944348</v>
      </c>
      <c r="W8" cm="1">
        <f t="array" ref="W8">DeltaC(B8,6.5,G8,0,0,0.2)</f>
        <v>0.67166038710963227</v>
      </c>
      <c r="X8" cm="1">
        <f t="array" ref="X8">GammaCP(B8,6.5,G8,0,0,0.2)</f>
        <v>0.23223928033356989</v>
      </c>
      <c r="Z8">
        <f t="shared" si="1"/>
        <v>0.79863394110271224</v>
      </c>
      <c r="AA8">
        <f t="shared" si="2"/>
        <v>0.25304719369368156</v>
      </c>
      <c r="AC8">
        <f t="shared" si="4"/>
        <v>1.2075033900490477</v>
      </c>
    </row>
    <row r="9" spans="1:29" x14ac:dyDescent="0.3">
      <c r="A9" s="2">
        <v>43017</v>
      </c>
      <c r="B9">
        <v>6.95</v>
      </c>
      <c r="C9" s="5">
        <v>1.04813</v>
      </c>
      <c r="D9" s="5">
        <v>0.61590999999999996</v>
      </c>
      <c r="E9" s="7"/>
      <c r="G9">
        <f t="shared" si="0"/>
        <v>1.2273972602739727</v>
      </c>
      <c r="I9" s="8" cm="1">
        <f t="array" ref="I9">BSCall(B9,6,0,0.2,G9)</f>
        <v>1.1666890235002993</v>
      </c>
      <c r="J9" cm="1">
        <f t="array" ref="J9">DeltaC(B9,6,G9,0,0,0.2)</f>
        <v>0.78057512900557191</v>
      </c>
      <c r="K9" cm="1">
        <f t="array" ref="K9">GammaCP(B9,6,G9,0,0,0.2)</f>
        <v>0.19198571403193007</v>
      </c>
      <c r="M9">
        <f t="shared" si="3"/>
        <v>1.1641873290185565</v>
      </c>
      <c r="V9" cm="1">
        <f t="array" ref="V9">BSCall(B9,6.5,0,0.2,G9)</f>
        <v>0.844995438659081</v>
      </c>
      <c r="W9" cm="1">
        <f t="array" ref="W9">DeltaC(B9,6.5,G9,0,0,0.2)</f>
        <v>0.66015795732524274</v>
      </c>
      <c r="X9" cm="1">
        <f t="array" ref="X9">GammaCP(B9,6.5,G9,0,0,0.2)</f>
        <v>0.23789376856903016</v>
      </c>
      <c r="Z9">
        <f t="shared" si="1"/>
        <v>0.80702287910589454</v>
      </c>
      <c r="AA9">
        <f t="shared" si="2"/>
        <v>0.2478125536202882</v>
      </c>
      <c r="AC9">
        <f t="shared" si="4"/>
        <v>1.1667577533655287</v>
      </c>
    </row>
    <row r="10" spans="1:29" x14ac:dyDescent="0.3">
      <c r="A10" s="2">
        <v>43018</v>
      </c>
      <c r="B10">
        <v>6.8559999999999999</v>
      </c>
      <c r="C10" s="5">
        <v>0.96879000000000004</v>
      </c>
      <c r="D10" s="5">
        <v>0.54810999999999999</v>
      </c>
      <c r="E10" s="7"/>
      <c r="G10">
        <f t="shared" si="0"/>
        <v>1.2246575342465753</v>
      </c>
      <c r="I10" s="8" cm="1">
        <f t="array" ref="I10">BSCall(B10,6,0,0.2,G10)</f>
        <v>1.0936555064747644</v>
      </c>
      <c r="J10" cm="1">
        <f t="array" ref="J10">DeltaC(B10,6,G10,0,0,0.2)</f>
        <v>0.76214791736717569</v>
      </c>
      <c r="K10" cm="1">
        <f t="array" ref="K10">GammaCP(B10,6,G10,0,0,0.2)</f>
        <v>0.20386380942638041</v>
      </c>
      <c r="M10">
        <f t="shared" si="3"/>
        <v>1.0908132668920325</v>
      </c>
      <c r="V10" cm="1">
        <f t="array" ref="V10">BSCall(B10,6.5,0,0.2,G10)</f>
        <v>0.78336879609920551</v>
      </c>
      <c r="W10" cm="1">
        <f t="array" ref="W10">DeltaC(B10,6.5,G10,0,0,0.2)</f>
        <v>0.6374241866615622</v>
      </c>
      <c r="X10" cm="1">
        <f t="array" ref="X10">GammaCP(B10,6.5,G10,0,0,0.2)</f>
        <v>0.24714985166815562</v>
      </c>
      <c r="Z10">
        <f t="shared" si="1"/>
        <v>0.82485912109753268</v>
      </c>
      <c r="AA10">
        <f t="shared" si="2"/>
        <v>0.23636276299120984</v>
      </c>
      <c r="AC10">
        <f t="shared" si="4"/>
        <v>1.0937292628169208</v>
      </c>
    </row>
    <row r="11" spans="1:29" x14ac:dyDescent="0.3">
      <c r="A11" s="2">
        <v>43019</v>
      </c>
      <c r="B11">
        <v>6.7949999999999999</v>
      </c>
      <c r="C11" s="5">
        <v>0.91991999999999996</v>
      </c>
      <c r="D11" s="5">
        <v>0.51253000000000004</v>
      </c>
      <c r="E11" s="7"/>
      <c r="G11">
        <f t="shared" si="0"/>
        <v>1.2219178082191782</v>
      </c>
      <c r="I11" s="8" cm="1">
        <f t="array" ref="I11">BSCall(B11,6,0,0.2,G11)</f>
        <v>1.0470131475377569</v>
      </c>
      <c r="J11" cm="1">
        <f t="array" ref="J11">DeltaC(B11,6,G11,0,0,0.2)</f>
        <v>0.7496393863296531</v>
      </c>
      <c r="K11" cm="1">
        <f t="array" ref="K11">GammaCP(B11,6,G11,0,0,0.2)</f>
        <v>0.21169637961753637</v>
      </c>
      <c r="M11">
        <f t="shared" si="3"/>
        <v>1.0443222439326347</v>
      </c>
      <c r="V11" cm="1">
        <f t="array" ref="V11">BSCall(B11,6.5,0,0.2,G11)</f>
        <v>0.74430949533325563</v>
      </c>
      <c r="W11" cm="1">
        <f t="array" ref="W11">DeltaC(B11,6.5,G11,0,0,0.2)</f>
        <v>0.62221505612611905</v>
      </c>
      <c r="X11" cm="1">
        <f t="array" ref="X11">GammaCP(B11,6.5,G11,0,0,0.2)</f>
        <v>0.25300313223852078</v>
      </c>
      <c r="Z11">
        <f t="shared" si="1"/>
        <v>0.83673422437299261</v>
      </c>
      <c r="AA11">
        <f t="shared" si="2"/>
        <v>0.2290107539487668</v>
      </c>
      <c r="AC11">
        <f t="shared" si="4"/>
        <v>1.0470927137739714</v>
      </c>
    </row>
    <row r="12" spans="1:29" x14ac:dyDescent="0.3">
      <c r="A12" s="2">
        <v>43020</v>
      </c>
      <c r="B12">
        <v>6.7439999999999998</v>
      </c>
      <c r="C12" s="5">
        <v>0.88119000000000003</v>
      </c>
      <c r="D12" s="5">
        <v>0.49517</v>
      </c>
      <c r="E12" s="7"/>
      <c r="G12">
        <f t="shared" si="0"/>
        <v>1.2191780821917808</v>
      </c>
      <c r="I12" s="8" cm="1">
        <f t="array" ref="I12">BSCall(B12,6,0,0.2,G12)</f>
        <v>1.008515823633636</v>
      </c>
      <c r="J12" cm="1">
        <f t="array" ref="J12">DeltaC(B12,6,G12,0,0,0.2)</f>
        <v>0.73883174012580322</v>
      </c>
      <c r="K12" cm="1">
        <f t="array" ref="K12">GammaCP(B12,6,G12,0,0,0.2)</f>
        <v>0.21830088028824432</v>
      </c>
      <c r="M12">
        <f t="shared" si="3"/>
        <v>1.0060906352298222</v>
      </c>
      <c r="V12" cm="1">
        <f t="array" ref="V12">BSCall(B12,6.5,0,0.2,G12)</f>
        <v>0.71226547687734421</v>
      </c>
      <c r="W12" cm="1">
        <f t="array" ref="W12">DeltaC(B12,6.5,G12,0,0,0.2)</f>
        <v>0.60922107222727906</v>
      </c>
      <c r="X12" cm="1">
        <f t="array" ref="X12">GammaCP(B12,6.5,G12,0,0,0.2)</f>
        <v>0.257770138603654</v>
      </c>
      <c r="Z12">
        <f t="shared" si="1"/>
        <v>0.84688196030302254</v>
      </c>
      <c r="AA12">
        <f t="shared" si="2"/>
        <v>0.22289340422005588</v>
      </c>
      <c r="AC12">
        <f t="shared" si="4"/>
        <v>1.0086008383940832</v>
      </c>
    </row>
    <row r="13" spans="1:29" x14ac:dyDescent="0.3">
      <c r="A13" s="2">
        <v>43021</v>
      </c>
      <c r="B13">
        <v>6.5609999999999999</v>
      </c>
      <c r="C13" s="5">
        <v>0.74526000000000003</v>
      </c>
      <c r="D13" s="5">
        <v>0.41163</v>
      </c>
      <c r="E13" s="7"/>
      <c r="G13">
        <f t="shared" si="0"/>
        <v>1.2164383561643837</v>
      </c>
      <c r="I13" s="8" cm="1">
        <f t="array" ref="I13">BSCall(B13,6,0,0.2,G13)</f>
        <v>0.87652422038619404</v>
      </c>
      <c r="J13" cm="1">
        <f t="array" ref="J13">DeltaC(B13,6,G13,0,0,0.2)</f>
        <v>0.69689975472721444</v>
      </c>
      <c r="K13" cm="1">
        <f t="array" ref="K13">GammaCP(B13,6,G13,0,0,0.2)</f>
        <v>0.24135661078921358</v>
      </c>
      <c r="M13">
        <f t="shared" si="3"/>
        <v>0.87088442678680034</v>
      </c>
      <c r="V13" cm="1">
        <f t="array" ref="V13">BSCall(B13,6.5,0,0.2,G13)</f>
        <v>0.60453628741743515</v>
      </c>
      <c r="W13" cm="1">
        <f t="array" ref="W13">DeltaC(B13,6.5,G13,0,0,0.2)</f>
        <v>0.56065819205051393</v>
      </c>
      <c r="X13" cm="1">
        <f t="array" ref="X13">GammaCP(B13,6.5,G13,0,0,0.2)</f>
        <v>0.27246190787006563</v>
      </c>
      <c r="Z13">
        <f t="shared" si="1"/>
        <v>0.88583616211156435</v>
      </c>
      <c r="AA13">
        <f t="shared" si="2"/>
        <v>0.20024845362477878</v>
      </c>
      <c r="AC13">
        <f t="shared" si="4"/>
        <v>0.87657743827014956</v>
      </c>
    </row>
    <row r="14" spans="1:29" x14ac:dyDescent="0.3">
      <c r="A14" s="2">
        <v>43024</v>
      </c>
      <c r="B14">
        <v>6.5979999999999999</v>
      </c>
      <c r="C14" s="5">
        <v>0.79588999999999999</v>
      </c>
      <c r="D14" s="5">
        <v>0.50590999999999997</v>
      </c>
      <c r="E14" s="7"/>
      <c r="G14">
        <f t="shared" si="0"/>
        <v>1.2082191780821918</v>
      </c>
      <c r="I14" s="8" cm="1">
        <f t="array" ref="I14">BSCall(B14,6,0,0.2,G14)</f>
        <v>0.90077677085582541</v>
      </c>
      <c r="J14" cm="1">
        <f t="array" ref="J14">DeltaC(B14,6,G14,0,0,0.2)</f>
        <v>0.70612093162302403</v>
      </c>
      <c r="K14" cm="1">
        <f t="array" ref="K14">GammaCP(B14,6,G14,0,0,0.2)</f>
        <v>0.23745658878958717</v>
      </c>
      <c r="M14">
        <f t="shared" si="3"/>
        <v>0.89666971771170723</v>
      </c>
      <c r="V14" cm="1">
        <f t="array" ref="V14">BSCall(B14,6.5,0,0.2,G14)</f>
        <v>0.62353253992137514</v>
      </c>
      <c r="W14" cm="1">
        <f t="array" ref="W14">DeltaC(B14,6.5,G14,0,0,0.2)</f>
        <v>0.57063423780266698</v>
      </c>
      <c r="X14" cm="1">
        <f t="array" ref="X14">GammaCP(B14,6.5,G14,0,0,0.2)</f>
        <v>0.27071707233219766</v>
      </c>
      <c r="Z14">
        <f t="shared" si="1"/>
        <v>0.87713932019109431</v>
      </c>
      <c r="AA14">
        <f t="shared" si="2"/>
        <v>0.20559520419902944</v>
      </c>
      <c r="AC14">
        <f t="shared" si="4"/>
        <v>0.90081419846685873</v>
      </c>
    </row>
    <row r="15" spans="1:29" x14ac:dyDescent="0.3">
      <c r="A15" s="2">
        <v>43025</v>
      </c>
      <c r="B15">
        <v>6.6130000000000004</v>
      </c>
      <c r="C15" s="5">
        <v>0.81650999999999996</v>
      </c>
      <c r="D15" s="5">
        <v>0.55364999999999998</v>
      </c>
      <c r="E15" s="7"/>
      <c r="G15">
        <f t="shared" si="0"/>
        <v>1.2054794520547945</v>
      </c>
      <c r="I15" s="8" cm="1">
        <f t="array" ref="I15">BSCall(B15,6,0,0.2,G15)</f>
        <v>0.91083044983182049</v>
      </c>
      <c r="J15" cm="1">
        <f t="array" ref="J15">DeltaC(B15,6,G15,0,0,0.2)</f>
        <v>0.70979813035234973</v>
      </c>
      <c r="K15" cm="1">
        <f t="array" ref="K15">GammaCP(B15,6,G15,0,0,0.2)</f>
        <v>0.23580079598201556</v>
      </c>
      <c r="M15">
        <f t="shared" si="3"/>
        <v>0.90726153168605295</v>
      </c>
      <c r="V15" cm="1">
        <f t="array" ref="V15">BSCall(B15,6.5,0,0.2,G15)</f>
        <v>0.63147608432647928</v>
      </c>
      <c r="W15" cm="1">
        <f t="array" ref="W15">DeltaC(B15,6.5,G15,0,0,0.2)</f>
        <v>0.57467261198182773</v>
      </c>
      <c r="X15" cm="1">
        <f t="array" ref="X15">GammaCP(B15,6.5,G15,0,0,0.2)</f>
        <v>0.2699004832219255</v>
      </c>
      <c r="Z15">
        <f t="shared" si="1"/>
        <v>0.87365829496543923</v>
      </c>
      <c r="AA15">
        <f t="shared" si="2"/>
        <v>0.20773063600497066</v>
      </c>
      <c r="AC15">
        <f t="shared" si="4"/>
        <v>0.91086572166924507</v>
      </c>
    </row>
    <row r="16" spans="1:29" x14ac:dyDescent="0.3">
      <c r="A16" s="2">
        <v>43026</v>
      </c>
      <c r="B16">
        <v>6.6609999999999996</v>
      </c>
      <c r="C16" s="5">
        <v>0.85648999999999997</v>
      </c>
      <c r="D16" s="5">
        <v>0.60399000000000003</v>
      </c>
      <c r="E16" s="7"/>
      <c r="G16">
        <f t="shared" si="0"/>
        <v>1.2027397260273973</v>
      </c>
      <c r="I16" s="8" cm="1">
        <f t="array" ref="I16">BSCall(B16,6,0,0.2,G16)</f>
        <v>0.94461126558264263</v>
      </c>
      <c r="J16" cm="1">
        <f t="array" ref="J16">DeltaC(B16,6,G16,0,0,0.2)</f>
        <v>0.72111172843722859</v>
      </c>
      <c r="K16" cm="1">
        <f t="array" ref="K16">GammaCP(B16,6,G16,0,0,0.2)</f>
        <v>0.22995869030542807</v>
      </c>
      <c r="M16">
        <f t="shared" si="3"/>
        <v>0.94133184194296515</v>
      </c>
      <c r="V16" cm="1">
        <f t="array" ref="V16">BSCall(B16,6.5,0,0.2,G16)</f>
        <v>0.65872244084165787</v>
      </c>
      <c r="W16" cm="1">
        <f t="array" ref="W16">DeltaC(B16,6.5,G16,0,0,0.2)</f>
        <v>0.58753955817072978</v>
      </c>
      <c r="X16" cm="1">
        <f t="array" ref="X16">GammaCP(B16,6.5,G16,0,0,0.2)</f>
        <v>0.26645750867609819</v>
      </c>
      <c r="Z16">
        <f t="shared" si="1"/>
        <v>0.86302199344272357</v>
      </c>
      <c r="AA16">
        <f t="shared" si="2"/>
        <v>0.21405216771826829</v>
      </c>
      <c r="AC16">
        <f t="shared" si="4"/>
        <v>0.94464079757455488</v>
      </c>
    </row>
    <row r="17" spans="1:29" x14ac:dyDescent="0.3">
      <c r="A17" s="2">
        <v>43027</v>
      </c>
      <c r="B17">
        <v>6.6230000000000002</v>
      </c>
      <c r="C17" s="5">
        <v>0.82623000000000002</v>
      </c>
      <c r="D17" s="5">
        <v>0.58326</v>
      </c>
      <c r="E17" s="7"/>
      <c r="G17">
        <f t="shared" si="0"/>
        <v>1.2</v>
      </c>
      <c r="I17" s="8" cm="1">
        <f t="array" ref="I17">BSCall(B17,6,0,0.2,G17)</f>
        <v>0.91681169530527562</v>
      </c>
      <c r="J17" cm="1">
        <f t="array" ref="J17">DeltaC(B17,6,G17,0,0,0.2)</f>
        <v>0.71241455308295643</v>
      </c>
      <c r="K17" cm="1">
        <f t="array" ref="K17">GammaCP(B17,6,G17,0,0,0.2)</f>
        <v>0.2349780228753382</v>
      </c>
      <c r="M17">
        <f t="shared" si="3"/>
        <v>0.91392959626235093</v>
      </c>
      <c r="V17" cm="1">
        <f t="array" ref="V17">BSCall(B17,6.5,0,0.2,G17)</f>
        <v>0.63594106006658402</v>
      </c>
      <c r="W17" cm="1">
        <f t="array" ref="W17">DeltaC(B17,6.5,G17,0,0,0.2)</f>
        <v>0.5773462315426301</v>
      </c>
      <c r="X17" cm="1">
        <f t="array" ref="X17">GammaCP(B17,6.5,G17,0,0,0.2)</f>
        <v>0.26975433094486395</v>
      </c>
      <c r="Z17">
        <f t="shared" si="1"/>
        <v>0.87108155799495279</v>
      </c>
      <c r="AA17">
        <f t="shared" si="2"/>
        <v>0.20949889820828749</v>
      </c>
      <c r="AC17">
        <f t="shared" si="4"/>
        <v>0.91684598255137884</v>
      </c>
    </row>
    <row r="18" spans="1:29" x14ac:dyDescent="0.3">
      <c r="A18" s="2">
        <v>43028</v>
      </c>
      <c r="B18">
        <v>6.8369999999999997</v>
      </c>
      <c r="C18" s="5">
        <v>0.99287000000000003</v>
      </c>
      <c r="D18" s="5">
        <v>0.72540000000000004</v>
      </c>
      <c r="E18" s="7"/>
      <c r="G18">
        <f t="shared" si="0"/>
        <v>1.1972602739726028</v>
      </c>
      <c r="I18" s="8" cm="1">
        <f t="array" ref="I18">BSCall(B18,6,0,0.2,G18)</f>
        <v>1.0739091092484543</v>
      </c>
      <c r="J18" cm="1">
        <f t="array" ref="J18">DeltaC(B18,6,G18,0,0,0.2)</f>
        <v>0.75995508691631009</v>
      </c>
      <c r="K18" cm="1">
        <f t="array" ref="K18">GammaCP(B18,6,G18,0,0,0.2)</f>
        <v>0.20779625784946662</v>
      </c>
      <c r="M18">
        <f t="shared" si="3"/>
        <v>1.0663863106221032</v>
      </c>
      <c r="V18" cm="1">
        <f t="array" ref="V18">BSCall(B18,6.5,0,0.2,G18)</f>
        <v>0.76489235382669918</v>
      </c>
      <c r="W18" cm="1">
        <f t="array" ref="W18">DeltaC(B18,6.5,G18,0,0,0.2)</f>
        <v>0.6332212177985983</v>
      </c>
      <c r="X18" cm="1">
        <f t="array" ref="X18">GammaCP(B18,6.5,G18,0,0,0.2)</f>
        <v>0.25162820818640119</v>
      </c>
      <c r="Z18">
        <f t="shared" si="1"/>
        <v>0.82580669054216393</v>
      </c>
      <c r="AA18">
        <f t="shared" si="2"/>
        <v>0.23703676866497081</v>
      </c>
      <c r="AC18">
        <f t="shared" si="4"/>
        <v>1.0740058406419783</v>
      </c>
    </row>
    <row r="19" spans="1:29" x14ac:dyDescent="0.3">
      <c r="A19" s="2">
        <v>43031</v>
      </c>
      <c r="B19">
        <v>6.8049999999999997</v>
      </c>
      <c r="C19" s="5">
        <v>0.95645999999999998</v>
      </c>
      <c r="D19" s="5">
        <v>0.65498000000000001</v>
      </c>
      <c r="E19" s="7"/>
      <c r="G19">
        <f t="shared" si="0"/>
        <v>1.189041095890411</v>
      </c>
      <c r="I19" s="8" cm="1">
        <f t="array" ref="I19">BSCall(B19,6,0,0.2,G19)</f>
        <v>1.0480826388693592</v>
      </c>
      <c r="J19" cm="1">
        <f t="array" ref="J19">DeltaC(B19,6,G19,0,0,0.2)</f>
        <v>0.75374719828332903</v>
      </c>
      <c r="K19" cm="1">
        <f t="array" ref="K19">GammaCP(B19,6,G19,0,0,0.2)</f>
        <v>0.21240601666703016</v>
      </c>
      <c r="M19">
        <f t="shared" si="3"/>
        <v>1.0420677478407812</v>
      </c>
      <c r="V19" cm="1">
        <f t="array" ref="V19">BSCall(B19,6.5,0,0.2,G19)</f>
        <v>0.74281726802247405</v>
      </c>
      <c r="W19" cm="1">
        <f t="array" ref="W19">DeltaC(B19,6.5,G19,0,0,0.2)</f>
        <v>0.62525277571967908</v>
      </c>
      <c r="X19" cm="1">
        <f t="array" ref="X19">GammaCP(B19,6.5,G19,0,0,0.2)</f>
        <v>0.2554547413552829</v>
      </c>
      <c r="Z19">
        <f t="shared" si="1"/>
        <v>0.83148198988257893</v>
      </c>
      <c r="AA19">
        <f t="shared" si="2"/>
        <v>0.23386077614832446</v>
      </c>
      <c r="AC19">
        <f t="shared" si="4"/>
        <v>1.0481909104932778</v>
      </c>
    </row>
    <row r="20" spans="1:29" x14ac:dyDescent="0.3">
      <c r="A20" s="2">
        <v>43032</v>
      </c>
      <c r="B20">
        <v>6.9320000000000004</v>
      </c>
      <c r="C20" s="5">
        <v>1.05077</v>
      </c>
      <c r="D20" s="5">
        <v>0.70865</v>
      </c>
      <c r="E20" s="7"/>
      <c r="G20">
        <f t="shared" si="0"/>
        <v>1.1863013698630136</v>
      </c>
      <c r="I20" s="8" cm="1">
        <f t="array" ref="I20">BSCall(B20,6,0,0.2,G20)</f>
        <v>1.1449610421206726</v>
      </c>
      <c r="J20" cm="1">
        <f t="array" ref="J20">DeltaC(B20,6,G20,0,0,0.2)</f>
        <v>0.77986986809526715</v>
      </c>
      <c r="K20" cm="1">
        <f t="array" ref="K20">GammaCP(B20,6,G20,0,0,0.2)</f>
        <v>0.19615087641695109</v>
      </c>
      <c r="M20">
        <f t="shared" si="3"/>
        <v>1.1377936420227646</v>
      </c>
      <c r="V20" cm="1">
        <f t="array" ref="V20">BSCall(B20,6.5,0,0.2,G20)</f>
        <v>0.82361150456509247</v>
      </c>
      <c r="W20" cm="1">
        <f t="array" ref="W20">DeltaC(B20,6.5,G20,0,0,0.2)</f>
        <v>0.65700657330308887</v>
      </c>
      <c r="X20" cm="1">
        <f t="array" ref="X20">GammaCP(B20,6.5,G20,0,0,0.2)</f>
        <v>0.24346031581259583</v>
      </c>
      <c r="Z20">
        <f t="shared" si="1"/>
        <v>0.80567905189089917</v>
      </c>
      <c r="AA20">
        <f t="shared" si="2"/>
        <v>0.25053343503034597</v>
      </c>
      <c r="AC20">
        <f t="shared" si="4"/>
        <v>1.1450701816356152</v>
      </c>
    </row>
    <row r="21" spans="1:29" x14ac:dyDescent="0.3">
      <c r="A21" s="2">
        <v>43033</v>
      </c>
      <c r="B21">
        <v>6.8490000000000002</v>
      </c>
      <c r="C21" s="5">
        <v>0.97570000000000001</v>
      </c>
      <c r="D21" s="5">
        <v>0.61819000000000002</v>
      </c>
      <c r="E21" s="7"/>
      <c r="G21">
        <f t="shared" si="0"/>
        <v>1.1835616438356165</v>
      </c>
      <c r="I21" s="8" cm="1">
        <f t="array" ref="I21">BSCall(B21,6,0,0.2,G21)</f>
        <v>1.0803878468829948</v>
      </c>
      <c r="J21" cm="1">
        <f t="array" ref="J21">DeltaC(B21,6,G21,0,0,0.2)</f>
        <v>0.76332321407117631</v>
      </c>
      <c r="K21" cm="1">
        <f t="array" ref="K21">GammaCP(B21,6,G21,0,0,0.2)</f>
        <v>0.20702085431615749</v>
      </c>
      <c r="M21">
        <f t="shared" si="3"/>
        <v>1.0730644429708573</v>
      </c>
      <c r="V21" cm="1">
        <f t="array" ref="V21">BSCall(B21,6.5,0,0.2,G21)</f>
        <v>0.76928096430484061</v>
      </c>
      <c r="W21" cm="1">
        <f t="array" ref="W21">DeltaC(B21,6.5,G21,0,0,0.2)</f>
        <v>0.63651600430361899</v>
      </c>
      <c r="X21" cm="1">
        <f t="array" ref="X21">GammaCP(B21,6.5,G21,0,0,0.2)</f>
        <v>0.25187450627485847</v>
      </c>
      <c r="Z21">
        <f t="shared" si="1"/>
        <v>0.82192063570834617</v>
      </c>
      <c r="AA21">
        <f t="shared" si="2"/>
        <v>0.24015757517540937</v>
      </c>
      <c r="AC21">
        <f t="shared" si="4"/>
        <v>1.0805029283624965</v>
      </c>
    </row>
    <row r="22" spans="1:29" x14ac:dyDescent="0.3">
      <c r="A22" s="2">
        <v>43034</v>
      </c>
      <c r="B22">
        <v>6.8070000000000004</v>
      </c>
      <c r="C22" s="5">
        <v>0.93716999999999995</v>
      </c>
      <c r="D22" s="5">
        <v>0.57252999999999998</v>
      </c>
      <c r="E22" s="7"/>
      <c r="G22">
        <f t="shared" si="0"/>
        <v>1.1808219178082191</v>
      </c>
      <c r="I22" s="8" cm="1">
        <f t="array" ref="I22">BSCall(B22,6,0,0.2,G22)</f>
        <v>1.0479727912609214</v>
      </c>
      <c r="J22" cm="1">
        <f t="array" ref="J22">DeltaC(B22,6,G22,0,0,0.2)</f>
        <v>0.75468568340386577</v>
      </c>
      <c r="K22" cm="1">
        <f t="array" ref="K22">GammaCP(B22,6,G22,0,0,0.2)</f>
        <v>0.21264500351223364</v>
      </c>
      <c r="M22">
        <f t="shared" si="3"/>
        <v>1.041004867979868</v>
      </c>
      <c r="V22" cm="1">
        <f t="array" ref="V22">BSCall(B22,6.5,0,0.2,G22)</f>
        <v>0.74212069857952789</v>
      </c>
      <c r="W22" cm="1">
        <f t="array" ref="W22">DeltaC(B22,6.5,G22,0,0,0.2)</f>
        <v>0.62589902608840586</v>
      </c>
      <c r="X22" cm="1">
        <f t="array" ref="X22">GammaCP(B22,6.5,G22,0,0,0.2)</f>
        <v>0.25612707782236643</v>
      </c>
      <c r="Z22">
        <f t="shared" si="1"/>
        <v>0.83023241946995852</v>
      </c>
      <c r="AA22">
        <f t="shared" si="2"/>
        <v>0.23504402063059793</v>
      </c>
      <c r="AC22">
        <f t="shared" si="4"/>
        <v>1.0480927273341727</v>
      </c>
    </row>
    <row r="23" spans="1:29" x14ac:dyDescent="0.3">
      <c r="A23" s="2">
        <v>43035</v>
      </c>
      <c r="B23">
        <v>6.84</v>
      </c>
      <c r="C23" s="5">
        <v>0.96131999999999995</v>
      </c>
      <c r="D23" s="5">
        <v>0.58894999999999997</v>
      </c>
      <c r="E23" s="7"/>
      <c r="G23">
        <f t="shared" si="0"/>
        <v>1.178082191780822</v>
      </c>
      <c r="I23" s="8" cm="1">
        <f t="array" ref="I23">BSCall(B23,6,0,0.2,G23)</f>
        <v>1.0724581074008315</v>
      </c>
      <c r="J23" cm="1">
        <f t="array" ref="J23">DeltaC(B23,6,G23,0,0,0.2)</f>
        <v>0.76180992216084997</v>
      </c>
      <c r="K23" cm="1">
        <f t="array" ref="K23">GammaCP(B23,6,G23,0,0,0.2)</f>
        <v>0.2085030540138624</v>
      </c>
      <c r="M23">
        <f t="shared" si="3"/>
        <v>1.0659094955321953</v>
      </c>
      <c r="V23" cm="1">
        <f t="array" ref="V23">BSCall(B23,6.5,0,0.2,G23)</f>
        <v>0.76226527926467114</v>
      </c>
      <c r="W23" cm="1">
        <f t="array" ref="W23">DeltaC(B23,6.5,G23,0,0,0.2)</f>
        <v>0.63435515932262643</v>
      </c>
      <c r="X23" cm="1">
        <f t="array" ref="X23">GammaCP(B23,6.5,G23,0,0,0.2)</f>
        <v>0.25329571049008454</v>
      </c>
      <c r="Z23">
        <f t="shared" si="1"/>
        <v>0.82316061969799692</v>
      </c>
      <c r="AA23">
        <f t="shared" si="2"/>
        <v>0.23963373610421523</v>
      </c>
      <c r="AC23">
        <f t="shared" si="4"/>
        <v>1.0725738639764166</v>
      </c>
    </row>
    <row r="24" spans="1:29" x14ac:dyDescent="0.3">
      <c r="A24" s="2">
        <v>43038</v>
      </c>
      <c r="B24">
        <v>6.8129999999999997</v>
      </c>
      <c r="C24" s="5">
        <v>0.93569000000000002</v>
      </c>
      <c r="D24" s="5">
        <v>0.55989</v>
      </c>
      <c r="E24" s="7"/>
      <c r="G24">
        <f t="shared" si="0"/>
        <v>1.1698630136986301</v>
      </c>
      <c r="I24" s="8" cm="1">
        <f t="array" ref="I24">BSCall(B24,6,0,0.2,G24)</f>
        <v>1.0503459627187475</v>
      </c>
      <c r="J24" cm="1">
        <f t="array" ref="J24">DeltaC(B24,6,G24,0,0,0.2)</f>
        <v>0.75665722473930064</v>
      </c>
      <c r="K24" cm="1">
        <f t="array" ref="K24">GammaCP(B24,6,G24,0,0,0.2)</f>
        <v>0.21252422114958996</v>
      </c>
      <c r="M24">
        <f t="shared" si="3"/>
        <v>1.0453406276338522</v>
      </c>
      <c r="V24" cm="1">
        <f t="array" ref="V24">BSCall(B24,6.5,0,0.2,G24)</f>
        <v>0.74327482473368223</v>
      </c>
      <c r="W24" cm="1">
        <f t="array" ref="W24">DeltaC(B24,6.5,G24,0,0,0.2)</f>
        <v>0.62762549100642373</v>
      </c>
      <c r="X24" cm="1">
        <f t="array" ref="X24">GammaCP(B24,6.5,G24,0,0,0.2)</f>
        <v>0.25671860557465614</v>
      </c>
      <c r="Z24">
        <f t="shared" si="1"/>
        <v>0.82784892304109203</v>
      </c>
      <c r="AA24">
        <f t="shared" si="2"/>
        <v>0.23707813793649612</v>
      </c>
      <c r="AC24">
        <f t="shared" si="4"/>
        <v>1.0504715587815274</v>
      </c>
    </row>
    <row r="25" spans="1:29" x14ac:dyDescent="0.3">
      <c r="A25" s="2">
        <v>43039</v>
      </c>
      <c r="B25">
        <v>6.7320000000000002</v>
      </c>
      <c r="C25" s="5">
        <v>0.86936999999999998</v>
      </c>
      <c r="D25" s="5">
        <v>0.50583</v>
      </c>
      <c r="E25" s="7"/>
      <c r="G25">
        <f t="shared" si="0"/>
        <v>1.167123287671233</v>
      </c>
      <c r="I25" s="8" cm="1">
        <f t="array" ref="I25">BSCall(B25,6,0,0.2,G25)</f>
        <v>0.9892111248872788</v>
      </c>
      <c r="J25" cm="1">
        <f t="array" ref="J25">DeltaC(B25,6,G25,0,0,0.2)</f>
        <v>0.73917302858004486</v>
      </c>
      <c r="K25" cm="1">
        <f t="array" ref="K25">GammaCP(B25,6,G25,0,0,0.2)</f>
        <v>0.22336347053553016</v>
      </c>
      <c r="M25">
        <f t="shared" si="3"/>
        <v>0.9840513924299692</v>
      </c>
      <c r="V25" cm="1">
        <f t="array" ref="V25">BSCall(B25,6.5,0,0.2,G25)</f>
        <v>0.69263128819681175</v>
      </c>
      <c r="W25" cm="1">
        <f t="array" ref="W25">DeltaC(B25,6.5,G25,0,0,0.2)</f>
        <v>0.60655247361283204</v>
      </c>
      <c r="X25" cm="1">
        <f t="array" ref="X25">GammaCP(B25,6.5,G25,0,0,0.2)</f>
        <v>0.26442780041317016</v>
      </c>
      <c r="Z25">
        <f t="shared" si="1"/>
        <v>0.84470494473925695</v>
      </c>
      <c r="AA25">
        <f t="shared" si="2"/>
        <v>0.226815154875458</v>
      </c>
      <c r="AC25">
        <f t="shared" si="4"/>
        <v>0.98934303242763089</v>
      </c>
    </row>
    <row r="26" spans="1:29" x14ac:dyDescent="0.3">
      <c r="A26" s="2">
        <v>43040</v>
      </c>
      <c r="B26">
        <v>6.7590000000000003</v>
      </c>
      <c r="C26" s="5">
        <v>0.89432</v>
      </c>
      <c r="D26" s="5">
        <v>0.54307000000000005</v>
      </c>
      <c r="E26" s="7"/>
      <c r="G26">
        <f t="shared" si="0"/>
        <v>1.1643835616438356</v>
      </c>
      <c r="I26" s="8" cm="1">
        <f t="array" ref="I26">BSCall(B26,6,0,0.2,G26)</f>
        <v>1.0086993201098355</v>
      </c>
      <c r="J26" cm="1">
        <f t="array" ref="J26">DeltaC(B26,6,G26,0,0,0.2)</f>
        <v>0.74532317531708381</v>
      </c>
      <c r="K26" cm="1">
        <f t="array" ref="K26">GammaCP(B26,6,G26,0,0,0.2)</f>
        <v>0.21999095796103202</v>
      </c>
      <c r="M26">
        <f t="shared" si="3"/>
        <v>1.0040090642016306</v>
      </c>
      <c r="V26" cm="1">
        <f t="array" ref="V26">BSCall(B26,6.5,0,0.2,G26)</f>
        <v>0.70844804453389543</v>
      </c>
      <c r="W26" cm="1">
        <f t="array" ref="W26">DeltaC(B26,6.5,G26,0,0,0.2)</f>
        <v>0.61369233725267547</v>
      </c>
      <c r="X26" cm="1">
        <f t="array" ref="X26">GammaCP(B26,6.5,G26,0,0,0.2)</f>
        <v>0.26231238952413322</v>
      </c>
      <c r="Z26">
        <f t="shared" si="1"/>
        <v>0.83866018818296206</v>
      </c>
      <c r="AA26">
        <f t="shared" si="2"/>
        <v>0.23064384427031315</v>
      </c>
      <c r="AC26">
        <f t="shared" si="4"/>
        <v>1.0088275338969388</v>
      </c>
    </row>
    <row r="27" spans="1:29" x14ac:dyDescent="0.3">
      <c r="A27" s="2">
        <v>43041</v>
      </c>
      <c r="B27">
        <v>6.7530000000000001</v>
      </c>
      <c r="C27" s="5">
        <v>0.88961000000000001</v>
      </c>
      <c r="D27" s="5">
        <v>0.54496</v>
      </c>
      <c r="E27" s="7"/>
      <c r="G27">
        <f t="shared" si="0"/>
        <v>1.1616438356164382</v>
      </c>
      <c r="I27" s="8" cm="1">
        <f t="array" ref="I27">BSCall(B27,6,0,0.2,G27)</f>
        <v>1.0036794225032786</v>
      </c>
      <c r="J27" cm="1">
        <f t="array" ref="J27">DeltaC(B27,6,G27,0,0,0.2)</f>
        <v>0.74416769661802029</v>
      </c>
      <c r="K27" cm="1">
        <f t="array" ref="K27">GammaCP(B27,6,G27,0,0,0.2)</f>
        <v>0.22096826109192269</v>
      </c>
      <c r="M27">
        <f t="shared" si="3"/>
        <v>0.99953712514972792</v>
      </c>
      <c r="V27" cm="1">
        <f t="array" ref="V27">BSCall(B27,6.5,0,0.2,G27)</f>
        <v>0.70411341392774451</v>
      </c>
      <c r="W27" cm="1">
        <f t="array" ref="W27">DeltaC(B27,6.5,G27,0,0,0.2)</f>
        <v>0.61214805341510248</v>
      </c>
      <c r="X27" cm="1">
        <f t="array" ref="X27">GammaCP(B27,6.5,G27,0,0,0.2)</f>
        <v>0.26315928124073124</v>
      </c>
      <c r="Z27">
        <f t="shared" si="1"/>
        <v>0.83967496814139231</v>
      </c>
      <c r="AA27">
        <f t="shared" si="2"/>
        <v>0.23016229936887878</v>
      </c>
      <c r="AC27">
        <f t="shared" si="4"/>
        <v>1.0038083887114586</v>
      </c>
    </row>
    <row r="28" spans="1:29" x14ac:dyDescent="0.3">
      <c r="A28" s="2">
        <v>43042</v>
      </c>
      <c r="B28">
        <v>6.7229999999999999</v>
      </c>
      <c r="C28" s="5">
        <v>0.86589000000000005</v>
      </c>
      <c r="D28" s="5">
        <v>0.53156999999999999</v>
      </c>
      <c r="E28" s="7"/>
      <c r="G28">
        <f t="shared" si="0"/>
        <v>1.1589041095890411</v>
      </c>
      <c r="I28" s="8" cm="1">
        <f t="array" ref="I28">BSCall(B28,6,0,0.2,G28)</f>
        <v>0.98089709724959073</v>
      </c>
      <c r="J28" cm="1">
        <f t="array" ref="J28">DeltaC(B28,6,G28,0,0,0.2)</f>
        <v>0.73764089929533572</v>
      </c>
      <c r="K28" cm="1">
        <f t="array" ref="K28">GammaCP(B28,6,G28,0,0,0.2)</f>
        <v>0.22512998484771654</v>
      </c>
      <c r="M28">
        <f t="shared" si="3"/>
        <v>0.97721209425118716</v>
      </c>
      <c r="V28" cm="1">
        <f t="array" ref="V28">BSCall(B28,6.5,0,0.2,G28)</f>
        <v>0.68520903136604705</v>
      </c>
      <c r="W28" cm="1">
        <f t="array" ref="W28">DeltaC(B28,6.5,G28,0,0,0.2)</f>
        <v>0.60423514892642682</v>
      </c>
      <c r="X28" cm="1">
        <f t="array" ref="X28">GammaCP(B28,6.5,G28,0,0,0.2)</f>
        <v>0.26614705097609831</v>
      </c>
      <c r="Z28">
        <f t="shared" si="1"/>
        <v>0.84588570123940487</v>
      </c>
      <c r="AA28">
        <f t="shared" si="2"/>
        <v>0.22652702663220892</v>
      </c>
      <c r="AC28">
        <f t="shared" si="4"/>
        <v>0.98102998290516619</v>
      </c>
    </row>
    <row r="29" spans="1:29" x14ac:dyDescent="0.3">
      <c r="A29" s="2">
        <v>43045</v>
      </c>
      <c r="B29">
        <v>6.6310000000000002</v>
      </c>
      <c r="C29" s="5">
        <v>0.79622000000000004</v>
      </c>
      <c r="D29" s="5">
        <v>0.48814999999999997</v>
      </c>
      <c r="E29" s="7"/>
      <c r="G29">
        <f t="shared" si="0"/>
        <v>1.1506849315068493</v>
      </c>
      <c r="I29" s="8" cm="1">
        <f t="array" ref="I29">BSCall(B29,6,0,0.2,G29)</f>
        <v>0.91228676549888776</v>
      </c>
      <c r="J29" cm="1">
        <f t="array" ref="J29">DeltaC(B29,6,G29,0,0,0.2)</f>
        <v>0.71680143537003094</v>
      </c>
      <c r="K29" cm="1">
        <f t="array" ref="K29">GammaCP(B29,6,G29,0,0,0.2)</f>
        <v>0.23792280228767512</v>
      </c>
      <c r="M29">
        <f t="shared" si="3"/>
        <v>0.90934913151601648</v>
      </c>
      <c r="V29" cm="1">
        <f t="array" ref="V29">BSCall(B29,6.5,0,0.2,G29)</f>
        <v>0.62877377423267777</v>
      </c>
      <c r="W29" cm="1">
        <f t="array" ref="W29">DeltaC(B29,6.5,G29,0,0,0.2)</f>
        <v>0.57936752081911558</v>
      </c>
      <c r="X29" cm="1">
        <f t="array" ref="X29">GammaCP(B29,6.5,G29,0,0,0.2)</f>
        <v>0.27486090700009208</v>
      </c>
      <c r="Z29">
        <f t="shared" si="1"/>
        <v>0.86561164657582756</v>
      </c>
      <c r="AA29">
        <f t="shared" si="2"/>
        <v>0.21529416170124127</v>
      </c>
      <c r="AC29">
        <f t="shared" si="4"/>
        <v>0.91245171940011682</v>
      </c>
    </row>
    <row r="30" spans="1:29" x14ac:dyDescent="0.3">
      <c r="A30" s="2">
        <v>43046</v>
      </c>
      <c r="B30">
        <v>6.61</v>
      </c>
      <c r="C30" s="5">
        <v>0.79110000000000003</v>
      </c>
      <c r="D30" s="5">
        <v>0.51304000000000005</v>
      </c>
      <c r="E30" s="7"/>
      <c r="G30">
        <f t="shared" si="0"/>
        <v>1.1479452054794521</v>
      </c>
      <c r="I30" s="8" cm="1">
        <f t="array" ref="I30">BSCall(B30,6,0,0.2,G30)</f>
        <v>0.89671010387020855</v>
      </c>
      <c r="J30" cm="1">
        <f t="array" ref="J30">DeltaC(B30,6,G30,0,0,0.2)</f>
        <v>0.71191612022362616</v>
      </c>
      <c r="K30" cm="1">
        <f t="array" ref="K30">GammaCP(B30,6,G30,0,0,0.2)</f>
        <v>0.24091608259463038</v>
      </c>
      <c r="M30">
        <f t="shared" si="3"/>
        <v>0.89429630137324589</v>
      </c>
      <c r="V30" cm="1">
        <f t="array" ref="V30">BSCall(B30,6.5,0,0.2,G30)</f>
        <v>0.61600537242154818</v>
      </c>
      <c r="W30" cm="1">
        <f t="array" ref="W30">DeltaC(B30,6.5,G30,0,0,0.2)</f>
        <v>0.57356440018245047</v>
      </c>
      <c r="X30" cm="1">
        <f t="array" ref="X30">GammaCP(B30,6.5,G30,0,0,0.2)</f>
        <v>0.27685314760499097</v>
      </c>
      <c r="Z30">
        <f t="shared" si="1"/>
        <v>0.87019448642269026</v>
      </c>
      <c r="AA30">
        <f t="shared" si="2"/>
        <v>0.21280354157652026</v>
      </c>
      <c r="AC30">
        <f t="shared" si="4"/>
        <v>0.89687806468851716</v>
      </c>
    </row>
    <row r="31" spans="1:29" x14ac:dyDescent="0.3">
      <c r="A31" s="2">
        <v>43047</v>
      </c>
      <c r="B31">
        <v>6.7649999999999997</v>
      </c>
      <c r="C31" s="5">
        <v>0.91840999999999995</v>
      </c>
      <c r="D31" s="5">
        <v>0.63651999999999997</v>
      </c>
      <c r="E31" s="7"/>
      <c r="G31">
        <f t="shared" si="0"/>
        <v>1.1452054794520548</v>
      </c>
      <c r="I31" s="8" cm="1">
        <f t="array" ref="I31">BSCall(B31,6,0,0.2,G31)</f>
        <v>1.0093162664322923</v>
      </c>
      <c r="J31" cm="1">
        <f t="array" ref="J31">DeltaC(B31,6,G31,0,0,0.2)</f>
        <v>0.74783750579679076</v>
      </c>
      <c r="K31" cm="1">
        <f t="array" ref="K31">GammaCP(B31,6,G31,0,0,0.2)</f>
        <v>0.22047594256916159</v>
      </c>
      <c r="M31">
        <f t="shared" si="3"/>
        <v>1.0046433000079076</v>
      </c>
      <c r="V31" cm="1">
        <f t="array" ref="V31">BSCall(B31,6.5,0,0.2,G31)</f>
        <v>0.70752128664377567</v>
      </c>
      <c r="W31" cm="1">
        <f t="array" ref="W31">DeltaC(B31,6.5,G31,0,0,0.2)</f>
        <v>0.61551358161147496</v>
      </c>
      <c r="X31" cm="1">
        <f t="array" ref="X31">GammaCP(B31,6.5,G31,0,0,0.2)</f>
        <v>0.26389861871894427</v>
      </c>
      <c r="Z31">
        <f t="shared" si="1"/>
        <v>0.83545697828745202</v>
      </c>
      <c r="AA31">
        <f t="shared" si="2"/>
        <v>0.23360238880878093</v>
      </c>
      <c r="AC31">
        <f t="shared" si="4"/>
        <v>1.0094992576089918</v>
      </c>
    </row>
    <row r="32" spans="1:29" x14ac:dyDescent="0.3">
      <c r="A32" s="2">
        <v>43048</v>
      </c>
      <c r="B32">
        <v>6.6150000000000002</v>
      </c>
      <c r="C32" s="5">
        <v>0.79810999999999999</v>
      </c>
      <c r="D32" s="5">
        <v>0.52424000000000004</v>
      </c>
      <c r="E32" s="7"/>
      <c r="G32">
        <f t="shared" si="0"/>
        <v>1.1424657534246576</v>
      </c>
      <c r="I32" s="8" cm="1">
        <f t="array" ref="I32">BSCall(B32,6,0,0.2,G32)</f>
        <v>0.89911944665271459</v>
      </c>
      <c r="J32" cm="1">
        <f t="array" ref="J32">DeltaC(B32,6,G32,0,0,0.2)</f>
        <v>0.71340326165691192</v>
      </c>
      <c r="K32" cm="1">
        <f t="array" ref="K32">GammaCP(B32,6,G32,0,0,0.2)</f>
        <v>0.24072043748089872</v>
      </c>
      <c r="M32">
        <f t="shared" si="3"/>
        <v>0.89246767413838934</v>
      </c>
      <c r="V32" cm="1">
        <f t="array" ref="V32">BSCall(B32,6.5,0,0.2,G32)</f>
        <v>0.61754931207119856</v>
      </c>
      <c r="W32" cm="1">
        <f t="array" ref="W32">DeltaC(B32,6.5,G32,0,0,0.2)</f>
        <v>0.57492418017990055</v>
      </c>
      <c r="X32" cm="1">
        <f t="array" ref="X32">GammaCP(B32,6.5,G32,0,0,0.2)</f>
        <v>0.27712650770979363</v>
      </c>
      <c r="Z32">
        <f t="shared" si="1"/>
        <v>0.86863014105089043</v>
      </c>
      <c r="AA32">
        <f t="shared" si="2"/>
        <v>0.21400678993367739</v>
      </c>
      <c r="AC32">
        <f t="shared" si="4"/>
        <v>0.89929118528071406</v>
      </c>
    </row>
    <row r="33" spans="1:29" x14ac:dyDescent="0.3">
      <c r="A33" s="2">
        <v>43049</v>
      </c>
      <c r="B33">
        <v>6.6429999999999998</v>
      </c>
      <c r="C33" s="5">
        <v>0.82789999999999997</v>
      </c>
      <c r="D33" s="5">
        <v>0.56862000000000001</v>
      </c>
      <c r="E33" s="7"/>
      <c r="G33">
        <f t="shared" si="0"/>
        <v>1.1397260273972603</v>
      </c>
      <c r="I33" s="8" cm="1">
        <f t="array" ref="I33">BSCall(B33,6,0,0.2,G33)</f>
        <v>0.91861525274058131</v>
      </c>
      <c r="J33" cm="1">
        <f t="array" ref="J33">DeltaC(B33,6,G33,0,0,0.2)</f>
        <v>0.72024083258527216</v>
      </c>
      <c r="K33" cm="1">
        <f t="array" ref="K33">GammaCP(B33,6,G33,0,0,0.2)</f>
        <v>0.23722939771444179</v>
      </c>
      <c r="M33">
        <f t="shared" si="3"/>
        <v>0.91244296546478254</v>
      </c>
      <c r="V33" cm="1">
        <f t="array" ref="V33">BSCall(B33,6.5,0,0.2,G33)</f>
        <v>0.63309046614156106</v>
      </c>
      <c r="W33" cm="1">
        <f t="array" ref="W33">DeltaC(B33,6.5,G33,0,0,0.2)</f>
        <v>0.58265008364803261</v>
      </c>
      <c r="X33" cm="1">
        <f t="array" ref="X33">GammaCP(B33,6.5,G33,0,0,0.2)</f>
        <v>0.27520708218332185</v>
      </c>
      <c r="Z33">
        <f t="shared" si="1"/>
        <v>0.86200324436570186</v>
      </c>
      <c r="AA33">
        <f t="shared" si="2"/>
        <v>0.21799457015072043</v>
      </c>
      <c r="AC33">
        <f t="shared" si="4"/>
        <v>0.9187828902510895</v>
      </c>
    </row>
    <row r="34" spans="1:29" x14ac:dyDescent="0.3">
      <c r="A34" s="2">
        <v>43052</v>
      </c>
      <c r="B34">
        <v>6.5129999999999999</v>
      </c>
      <c r="C34" s="5">
        <v>0.73292000000000002</v>
      </c>
      <c r="D34" s="5">
        <v>0.50405</v>
      </c>
      <c r="E34" s="7"/>
      <c r="G34">
        <f t="shared" si="0"/>
        <v>1.1315068493150684</v>
      </c>
      <c r="I34" s="8" cm="1">
        <f t="array" ref="I34">BSCall(B34,6,0,0.2,G34)</f>
        <v>0.82526099987301027</v>
      </c>
      <c r="J34" cm="1">
        <f t="array" ref="J34">DeltaC(B34,6,G34,0,0,0.2)</f>
        <v>0.68864114823843459</v>
      </c>
      <c r="K34" cm="1">
        <f t="array" ref="K34">GammaCP(B34,6,G34,0,0,0.2)</f>
        <v>0.2550976001347105</v>
      </c>
      <c r="M34">
        <f t="shared" si="3"/>
        <v>0.8188116572286972</v>
      </c>
      <c r="V34" cm="1">
        <f t="array" ref="V34">BSCall(B34,6.5,0,0.2,G34)</f>
        <v>0.55770960260965818</v>
      </c>
      <c r="W34" cm="1">
        <f t="array" ref="W34">DeltaC(B34,6.5,G34,0,0,0.2)</f>
        <v>0.54608015527841047</v>
      </c>
      <c r="X34" cm="1">
        <f t="array" ref="X34">GammaCP(B34,6.5,G34,0,0,0.2)</f>
        <v>0.28599625683197732</v>
      </c>
      <c r="Z34">
        <f t="shared" si="1"/>
        <v>0.8919613248105559</v>
      </c>
      <c r="AA34">
        <f t="shared" si="2"/>
        <v>0.2015587694835495</v>
      </c>
      <c r="AC34">
        <f t="shared" si="4"/>
        <v>0.82546504720390734</v>
      </c>
    </row>
    <row r="35" spans="1:29" x14ac:dyDescent="0.3">
      <c r="A35" s="2">
        <v>43053</v>
      </c>
      <c r="B35">
        <v>6.4379999999999997</v>
      </c>
      <c r="C35" s="5">
        <v>0.70043999999999995</v>
      </c>
      <c r="D35" s="5">
        <v>0.50819999999999999</v>
      </c>
      <c r="E35" s="7"/>
      <c r="G35">
        <f t="shared" si="0"/>
        <v>1.1287671232876713</v>
      </c>
      <c r="I35" s="8" cm="1">
        <f t="array" ref="I35">BSCall(B35,6,0,0.2,G35)</f>
        <v>0.7737379794482937</v>
      </c>
      <c r="J35" cm="1">
        <f t="array" ref="J35">DeltaC(B35,6,G35,0,0,0.2)</f>
        <v>0.66924637231058282</v>
      </c>
      <c r="K35" cm="1">
        <f t="array" ref="K35">GammaCP(B35,6,G35,0,0,0.2)</f>
        <v>0.26497217065686562</v>
      </c>
      <c r="M35">
        <f t="shared" si="3"/>
        <v>0.76716357111081446</v>
      </c>
      <c r="V35" cm="1">
        <f t="array" ref="V35">BSCall(B35,6.5,0,0.2,G35)</f>
        <v>0.51690188231550449</v>
      </c>
      <c r="W35" cm="1">
        <f t="array" ref="W35">DeltaC(B35,6.5,G35,0,0,0.2)</f>
        <v>0.52437548566074721</v>
      </c>
      <c r="X35" cm="1">
        <f t="array" ref="X35">GammaCP(B35,6.5,G35,0,0,0.2)</f>
        <v>0.2910819313664551</v>
      </c>
      <c r="Z35">
        <f t="shared" si="1"/>
        <v>0.91030099124662323</v>
      </c>
      <c r="AA35">
        <f t="shared" si="2"/>
        <v>0.19190684792817519</v>
      </c>
      <c r="AC35">
        <f t="shared" si="4"/>
        <v>0.77394923123656911</v>
      </c>
    </row>
    <row r="36" spans="1:29" x14ac:dyDescent="0.3">
      <c r="A36" s="2">
        <v>43054</v>
      </c>
      <c r="B36">
        <v>6.4550000000000001</v>
      </c>
      <c r="C36" s="5">
        <v>0.73751</v>
      </c>
      <c r="D36" s="5">
        <v>0.56605000000000005</v>
      </c>
      <c r="E36" s="7"/>
      <c r="G36">
        <f t="shared" si="0"/>
        <v>1.1260273972602739</v>
      </c>
      <c r="I36" s="8" cm="1">
        <f t="array" ref="I36">BSCall(B36,6,0,0.2,G36)</f>
        <v>0.78455297207659402</v>
      </c>
      <c r="J36" cm="1">
        <f t="array" ref="J36">DeltaC(B36,6,G36,0,0,0.2)</f>
        <v>0.67383690180008093</v>
      </c>
      <c r="K36" cm="1">
        <f t="array" ref="K36">GammaCP(B36,6,G36,0,0,0.2)</f>
        <v>0.26310724667049762</v>
      </c>
      <c r="M36">
        <f t="shared" si="3"/>
        <v>0.7785407594400946</v>
      </c>
      <c r="V36" cm="1">
        <f t="array" ref="V36">BSCall(B36,6.5,0,0.2,G36)</f>
        <v>0.52519559995452658</v>
      </c>
      <c r="W36" cm="1">
        <f t="array" ref="W36">DeltaC(B36,6.5,G36,0,0,0.2)</f>
        <v>0.52924820956642993</v>
      </c>
      <c r="X36" cm="1">
        <f t="array" ref="X36">GammaCP(B36,6.5,G36,0,0,0.2)</f>
        <v>0.29042906884947212</v>
      </c>
      <c r="Z36">
        <f t="shared" si="1"/>
        <v>0.90592600703776227</v>
      </c>
      <c r="AA36">
        <f t="shared" si="2"/>
        <v>0.19437718457568026</v>
      </c>
      <c r="AC36">
        <f t="shared" si="4"/>
        <v>0.78476142703926965</v>
      </c>
    </row>
    <row r="37" spans="1:29" x14ac:dyDescent="0.3">
      <c r="A37" s="2">
        <v>43055</v>
      </c>
      <c r="B37">
        <v>6.5419999999999998</v>
      </c>
      <c r="C37" s="5">
        <v>0.81154999999999999</v>
      </c>
      <c r="D37" s="5">
        <v>0.64265000000000005</v>
      </c>
      <c r="E37" s="7"/>
      <c r="G37">
        <f t="shared" si="0"/>
        <v>1.1232876712328768</v>
      </c>
      <c r="I37" s="8" cm="1">
        <f t="array" ref="I37">BSCall(B37,6,0,0.2,G37)</f>
        <v>0.84356753814523477</v>
      </c>
      <c r="J37" cm="1">
        <f t="array" ref="J37">DeltaC(B37,6,G37,0,0,0.2)</f>
        <v>0.69636800061655646</v>
      </c>
      <c r="K37" cm="1">
        <f t="array" ref="K37">GammaCP(B37,6,G37,0,0,0.2)</f>
        <v>0.2520916353972073</v>
      </c>
      <c r="M37">
        <f t="shared" si="3"/>
        <v>0.83716456989670152</v>
      </c>
      <c r="V37" cm="1">
        <f t="array" ref="V37">BSCall(B37,6.5,0,0.2,G37)</f>
        <v>0.57166436701111945</v>
      </c>
      <c r="W37" cm="1">
        <f t="array" ref="W37">DeltaC(B37,6.5,G37,0,0,0.2)</f>
        <v>0.554235762424099</v>
      </c>
      <c r="X37" cm="1">
        <f t="array" ref="X37">GammaCP(B37,6.5,G37,0,0,0.2)</f>
        <v>0.28502684918823673</v>
      </c>
      <c r="Z37">
        <f t="shared" si="1"/>
        <v>0.88444873216390074</v>
      </c>
      <c r="AA37">
        <f t="shared" si="2"/>
        <v>0.20617488322066918</v>
      </c>
      <c r="AC37">
        <f t="shared" si="4"/>
        <v>0.84376950668890083</v>
      </c>
    </row>
    <row r="38" spans="1:29" x14ac:dyDescent="0.3">
      <c r="A38" s="2">
        <v>43056</v>
      </c>
      <c r="B38">
        <v>6.5330000000000004</v>
      </c>
      <c r="C38" s="5">
        <v>0.80203000000000002</v>
      </c>
      <c r="D38" s="5">
        <v>0.63602999999999998</v>
      </c>
      <c r="E38" s="7"/>
      <c r="G38">
        <f t="shared" si="0"/>
        <v>1.1205479452054794</v>
      </c>
      <c r="I38" s="8" cm="1">
        <f t="array" ref="I38">BSCall(B38,6,0,0.2,G38)</f>
        <v>0.83671782054812915</v>
      </c>
      <c r="J38" cm="1">
        <f t="array" ref="J38">DeltaC(B38,6,G38,0,0,0.2)</f>
        <v>0.69422051386951922</v>
      </c>
      <c r="K38" cm="1">
        <f t="array" ref="K38">GammaCP(B38,6,G38,0,0,0.2)</f>
        <v>0.25354060850865312</v>
      </c>
      <c r="M38">
        <f t="shared" si="3"/>
        <v>0.83089725789115287</v>
      </c>
      <c r="V38" cm="1">
        <f t="array" ref="V38">BSCall(B38,6.5,0,0.2,G38)</f>
        <v>0.56601931578968445</v>
      </c>
      <c r="W38" cm="1">
        <f t="array" ref="W38">DeltaC(B38,6.5,G38,0,0,0.2)</f>
        <v>0.55162802032632874</v>
      </c>
      <c r="X38" cm="1">
        <f t="array" ref="X38">GammaCP(B38,6.5,G38,0,0,0.2)</f>
        <v>0.28601911564997184</v>
      </c>
      <c r="Z38">
        <f t="shared" si="1"/>
        <v>0.88644637590913433</v>
      </c>
      <c r="AA38">
        <f t="shared" si="2"/>
        <v>0.20523185440131481</v>
      </c>
      <c r="AC38">
        <f t="shared" si="4"/>
        <v>0.83692117434411639</v>
      </c>
    </row>
    <row r="39" spans="1:29" x14ac:dyDescent="0.3">
      <c r="A39" s="2">
        <v>43059</v>
      </c>
      <c r="B39">
        <v>6.4729999999999999</v>
      </c>
      <c r="C39" s="5">
        <v>0.75688</v>
      </c>
      <c r="D39" s="5">
        <v>0.60170000000000001</v>
      </c>
      <c r="E39" s="7"/>
      <c r="G39">
        <f t="shared" si="0"/>
        <v>1.1123287671232878</v>
      </c>
      <c r="I39" s="8" cm="1">
        <f t="array" ref="I39">BSCall(B39,6,0,0.2,G39)</f>
        <v>0.79372255073909814</v>
      </c>
      <c r="J39" cm="1">
        <f t="array" ref="J39">DeltaC(B39,6,G39,0,0,0.2)</f>
        <v>0.67910637408891716</v>
      </c>
      <c r="K39" cm="1">
        <f t="array" ref="K39">GammaCP(B39,6,G39,0,0,0.2)</f>
        <v>0.26221923127773195</v>
      </c>
      <c r="M39">
        <f t="shared" si="3"/>
        <v>0.78924402705898133</v>
      </c>
      <c r="V39" cm="1">
        <f t="array" ref="V39">BSCall(B39,6.5,0,0.2,G39)</f>
        <v>0.53143759607380492</v>
      </c>
      <c r="W39" cm="1">
        <f t="array" ref="W39">DeltaC(B39,6.5,G39,0,0,0.2)</f>
        <v>0.53416080467458049</v>
      </c>
      <c r="X39" cm="1">
        <f t="array" ref="X39">GammaCP(B39,6.5,G39,0,0,0.2)</f>
        <v>0.29111313510052883</v>
      </c>
      <c r="Z39">
        <f t="shared" si="1"/>
        <v>0.90074682197758238</v>
      </c>
      <c r="AA39">
        <f t="shared" si="2"/>
        <v>0.19796272685330063</v>
      </c>
      <c r="AC39">
        <f t="shared" si="4"/>
        <v>0.79395242296519053</v>
      </c>
    </row>
    <row r="40" spans="1:29" x14ac:dyDescent="0.3">
      <c r="A40" s="2">
        <v>43060</v>
      </c>
      <c r="B40">
        <v>6.5460000000000003</v>
      </c>
      <c r="C40" s="5">
        <v>0.81610000000000005</v>
      </c>
      <c r="D40" s="5">
        <v>0.65788999999999997</v>
      </c>
      <c r="E40" s="7"/>
      <c r="G40">
        <f t="shared" si="0"/>
        <v>1.1095890410958904</v>
      </c>
      <c r="I40" s="8" cm="1">
        <f t="array" ref="I40">BSCall(B40,6,0,0.2,G40)</f>
        <v>0.84339410944038695</v>
      </c>
      <c r="J40" cm="1">
        <f t="array" ref="J40">DeltaC(B40,6,G40,0,0,0.2)</f>
        <v>0.69803132391793765</v>
      </c>
      <c r="K40" cm="1">
        <f t="array" ref="K40">GammaCP(B40,6,G40,0,0,0.2)</f>
        <v>0.25286519665262247</v>
      </c>
      <c r="M40">
        <f t="shared" si="3"/>
        <v>0.83881879236747259</v>
      </c>
      <c r="V40" cm="1">
        <f t="array" ref="V40">BSCall(B40,6.5,0,0.2,G40)</f>
        <v>0.57053045918331957</v>
      </c>
      <c r="W40" cm="1">
        <f t="array" ref="W40">DeltaC(B40,6.5,G40,0,0,0.2)</f>
        <v>0.55520006619426332</v>
      </c>
      <c r="X40" cm="1">
        <f t="array" ref="X40">GammaCP(B40,6.5,G40,0,0,0.2)</f>
        <v>0.28650942791984108</v>
      </c>
      <c r="Z40">
        <f t="shared" si="1"/>
        <v>0.88257199244196771</v>
      </c>
      <c r="AA40">
        <f t="shared" si="2"/>
        <v>0.20802729529295433</v>
      </c>
      <c r="AC40">
        <f t="shared" si="4"/>
        <v>0.84361647423338149</v>
      </c>
    </row>
    <row r="41" spans="1:29" x14ac:dyDescent="0.3">
      <c r="A41" s="2">
        <v>43061</v>
      </c>
      <c r="B41">
        <v>6.5019999999999998</v>
      </c>
      <c r="C41" s="5">
        <v>0.77995999999999999</v>
      </c>
      <c r="D41" s="5">
        <v>0.62560000000000004</v>
      </c>
      <c r="E41" s="7"/>
      <c r="G41">
        <f t="shared" si="0"/>
        <v>1.106849315068493</v>
      </c>
      <c r="I41" s="8" cm="1">
        <f t="array" ref="I41">BSCall(B41,6,0,0.2,G41)</f>
        <v>0.81232778368999981</v>
      </c>
      <c r="J41" cm="1">
        <f t="array" ref="J41">DeltaC(B41,6,G41,0,0,0.2)</f>
        <v>0.68689746125873496</v>
      </c>
      <c r="K41" cm="1">
        <f t="array" ref="K41">GammaCP(B41,6,G41,0,0,0.2)</f>
        <v>0.25898366088713826</v>
      </c>
      <c r="M41">
        <f t="shared" si="3"/>
        <v>0.80810541411508297</v>
      </c>
      <c r="V41" cm="1">
        <f t="array" ref="V41">BSCall(B41,6.5,0,0.2,G41)</f>
        <v>0.54570876929942136</v>
      </c>
      <c r="W41" cm="1">
        <f t="array" ref="W41">DeltaC(B41,6.5,G41,0,0,0.2)</f>
        <v>0.54247421220685121</v>
      </c>
      <c r="X41" cm="1">
        <f t="array" ref="X41">GammaCP(B41,6.5,G41,0,0,0.2)</f>
        <v>0.28994664874589404</v>
      </c>
      <c r="Z41">
        <f t="shared" si="1"/>
        <v>0.89321143047288198</v>
      </c>
      <c r="AA41">
        <f t="shared" si="2"/>
        <v>0.20235329417880366</v>
      </c>
      <c r="AC41">
        <f t="shared" si="4"/>
        <v>0.81255634494388274</v>
      </c>
    </row>
    <row r="42" spans="1:29" x14ac:dyDescent="0.3">
      <c r="A42" s="2">
        <v>43062</v>
      </c>
      <c r="B42">
        <v>6.5140000000000002</v>
      </c>
      <c r="C42" s="5">
        <v>0.79056999999999999</v>
      </c>
      <c r="D42" s="5">
        <v>0.63768000000000002</v>
      </c>
      <c r="E42" s="7"/>
      <c r="G42">
        <f t="shared" si="0"/>
        <v>1.1041095890410959</v>
      </c>
      <c r="I42" s="8" cm="1">
        <f t="array" ref="I42">BSCall(B42,6,0,0.2,G42)</f>
        <v>0.81999038550842762</v>
      </c>
      <c r="J42" cm="1">
        <f t="array" ref="J42">DeltaC(B42,6,G42,0,0,0.2)</f>
        <v>0.69012064649432614</v>
      </c>
      <c r="K42" cm="1">
        <f t="array" ref="K42">GammaCP(B42,6,G42,0,0,0.2)</f>
        <v>0.25766954290884914</v>
      </c>
      <c r="M42">
        <f t="shared" si="3"/>
        <v>0.81634818365018813</v>
      </c>
      <c r="V42" cm="1">
        <f t="array" ref="V42">BSCall(B42,6.5,0,0.2,G42)</f>
        <v>0.55156665088601908</v>
      </c>
      <c r="W42" cm="1">
        <f t="array" ref="W42">DeltaC(B42,6.5,G42,0,0,0.2)</f>
        <v>0.54590208872620494</v>
      </c>
      <c r="X42" cm="1">
        <f t="array" ref="X42">GammaCP(B42,6.5,G42,0,0,0.2)</f>
        <v>0.28949343706299779</v>
      </c>
      <c r="Z42">
        <f t="shared" si="1"/>
        <v>0.89007041238305051</v>
      </c>
      <c r="AA42">
        <f t="shared" si="2"/>
        <v>0.20422934926102426</v>
      </c>
      <c r="AC42">
        <f t="shared" si="4"/>
        <v>0.8202169112655342</v>
      </c>
    </row>
    <row r="43" spans="1:29" x14ac:dyDescent="0.3">
      <c r="A43" s="2">
        <v>43063</v>
      </c>
      <c r="B43">
        <v>6.593</v>
      </c>
      <c r="C43" s="5">
        <v>0.84550000000000003</v>
      </c>
      <c r="D43" s="5">
        <v>0.68213999999999997</v>
      </c>
      <c r="E43" s="7"/>
      <c r="G43">
        <f t="shared" si="0"/>
        <v>1.1013698630136985</v>
      </c>
      <c r="I43" s="8" cm="1">
        <f t="array" ref="I43">BSCall(B43,6,0,0.2,G43)</f>
        <v>0.87471430315439402</v>
      </c>
      <c r="J43" cm="1">
        <f t="array" ref="J43">DeltaC(B43,6,G43,0,0,0.2)</f>
        <v>0.71020414007500976</v>
      </c>
      <c r="K43" cm="1">
        <f t="array" ref="K43">GammaCP(B43,6,G43,0,0,0.2)</f>
        <v>0.24727998369805315</v>
      </c>
      <c r="M43">
        <f t="shared" si="3"/>
        <v>0.87086771472323976</v>
      </c>
      <c r="V43" cm="1">
        <f t="array" ref="V43">BSCall(B43,6.5,0,0.2,G43)</f>
        <v>0.59491435288303673</v>
      </c>
      <c r="W43" cm="1">
        <f t="array" ref="W43">DeltaC(B43,6.5,G43,0,0,0.2)</f>
        <v>0.56852883871434057</v>
      </c>
      <c r="X43" cm="1">
        <f t="array" ref="X43">GammaCP(B43,6.5,G43,0,0,0.2)</f>
        <v>0.28402670453850304</v>
      </c>
      <c r="Z43">
        <f t="shared" si="1"/>
        <v>0.8706223032789917</v>
      </c>
      <c r="AA43">
        <f t="shared" si="2"/>
        <v>0.2152302530330002</v>
      </c>
      <c r="AC43">
        <f t="shared" si="4"/>
        <v>0.87493353684949815</v>
      </c>
    </row>
    <row r="44" spans="1:29" x14ac:dyDescent="0.3">
      <c r="A44" s="2">
        <v>43066</v>
      </c>
      <c r="B44">
        <v>6.5279999999999996</v>
      </c>
      <c r="C44" s="5">
        <v>0.78730999999999995</v>
      </c>
      <c r="D44" s="5">
        <v>0.62331000000000003</v>
      </c>
      <c r="E44" s="7"/>
      <c r="G44">
        <f t="shared" si="0"/>
        <v>1.0931506849315069</v>
      </c>
      <c r="I44" s="8" cm="1">
        <f t="array" ref="I44">BSCall(B44,6,0,0.2,G44)</f>
        <v>0.82728294245806122</v>
      </c>
      <c r="J44" cm="1">
        <f t="array" ref="J44">DeltaC(B44,6,G44,0,0,0.2)</f>
        <v>0.69423552029826552</v>
      </c>
      <c r="K44" cm="1">
        <f t="array" ref="K44">GammaCP(B44,6,G44,0,0,0.2)</f>
        <v>0.25688917746868989</v>
      </c>
      <c r="M44">
        <f t="shared" si="3"/>
        <v>0.82470444561836387</v>
      </c>
      <c r="V44" cm="1">
        <f t="array" ref="V44">BSCall(B44,6.5,0,0.2,G44)</f>
        <v>0.55653600911478929</v>
      </c>
      <c r="W44" cm="1">
        <f t="array" ref="W44">DeltaC(B44,6.5,G44,0,0,0.2)</f>
        <v>0.54978174954510817</v>
      </c>
      <c r="X44" cm="1">
        <f t="array" ref="X44">GammaCP(B44,6.5,G44,0,0,0.2)</f>
        <v>0.28997530328290533</v>
      </c>
      <c r="Z44">
        <f t="shared" si="1"/>
        <v>0.88590019412123522</v>
      </c>
      <c r="AA44">
        <f t="shared" si="2"/>
        <v>0.20718376165194186</v>
      </c>
      <c r="AC44">
        <f t="shared" si="4"/>
        <v>0.82753052835480845</v>
      </c>
    </row>
    <row r="45" spans="1:29" x14ac:dyDescent="0.3">
      <c r="A45" s="2">
        <v>43067</v>
      </c>
      <c r="B45">
        <v>6.4980000000000002</v>
      </c>
      <c r="C45" s="5">
        <v>0.76734999999999998</v>
      </c>
      <c r="D45" s="5">
        <v>0.60956999999999995</v>
      </c>
      <c r="E45" s="7"/>
      <c r="G45">
        <f t="shared" si="0"/>
        <v>1.0904109589041096</v>
      </c>
      <c r="I45" s="8" cm="1">
        <f t="array" ref="I45">BSCall(B45,6,0,0.2,G45)</f>
        <v>0.80596808956298283</v>
      </c>
      <c r="J45" cm="1">
        <f t="array" ref="J45">DeltaC(B45,6,G45,0,0,0.2)</f>
        <v>0.68659157507651714</v>
      </c>
      <c r="K45" cm="1">
        <f t="array" ref="K45">GammaCP(B45,6,G45,0,0,0.2)</f>
        <v>0.26119880721947258</v>
      </c>
      <c r="M45">
        <f t="shared" si="3"/>
        <v>0.80387738000941633</v>
      </c>
      <c r="V45" cm="1">
        <f t="array" ref="V45">BSCall(B45,6.5,0,0.2,G45)</f>
        <v>0.53949723901385438</v>
      </c>
      <c r="W45" cm="1">
        <f t="array" ref="W45">DeltaC(B45,6.5,G45,0,0,0.2)</f>
        <v>0.54099836204652363</v>
      </c>
      <c r="X45" cm="1">
        <f t="array" ref="X45">GammaCP(B45,6.5,G45,0,0,0.2)</f>
        <v>0.29241780671639556</v>
      </c>
      <c r="Z45">
        <f t="shared" si="1"/>
        <v>0.89323837748635793</v>
      </c>
      <c r="AA45">
        <f t="shared" si="2"/>
        <v>0.20335107593930313</v>
      </c>
      <c r="AC45">
        <f t="shared" si="4"/>
        <v>0.80622036576524503</v>
      </c>
    </row>
    <row r="46" spans="1:29" x14ac:dyDescent="0.3">
      <c r="A46" s="2">
        <v>43068</v>
      </c>
      <c r="B46">
        <v>6.6859999999999999</v>
      </c>
      <c r="C46" s="5">
        <v>0.90720000000000001</v>
      </c>
      <c r="D46" s="5">
        <v>0.72591000000000006</v>
      </c>
      <c r="E46" s="7"/>
      <c r="G46">
        <f t="shared" si="0"/>
        <v>1.0876712328767124</v>
      </c>
      <c r="I46" s="8" cm="1">
        <f t="array" ref="I46">BSCall(B46,6,0,0.2,G46)</f>
        <v>0.93893598928226663</v>
      </c>
      <c r="J46" cm="1">
        <f t="array" ref="J46">DeltaC(B46,6,G46,0,0,0.2)</f>
        <v>0.73345628106367045</v>
      </c>
      <c r="K46" cm="1">
        <f t="array" ref="K46">GammaCP(B46,6,G46,0,0,0.2)</f>
        <v>0.2355605515874348</v>
      </c>
      <c r="M46">
        <f t="shared" si="3"/>
        <v>0.93295659612380133</v>
      </c>
      <c r="V46" cm="1">
        <f t="array" ref="V46">BSCall(B46,6.5,0,0.2,G46)</f>
        <v>0.64561108772270881</v>
      </c>
      <c r="W46" cm="1">
        <f t="array" ref="W46">DeltaC(B46,6.5,G46,0,0,0.2)</f>
        <v>0.59466227246796888</v>
      </c>
      <c r="X46" cm="1">
        <f t="array" ref="X46">GammaCP(B46,6.5,G46,0,0,0.2)</f>
        <v>0.27797360686076977</v>
      </c>
      <c r="Z46">
        <f t="shared" si="1"/>
        <v>0.8474205671814784</v>
      </c>
      <c r="AA46">
        <f t="shared" si="2"/>
        <v>0.22952724084743736</v>
      </c>
      <c r="AC46">
        <f t="shared" si="4"/>
        <v>0.93923533009136395</v>
      </c>
    </row>
    <row r="47" spans="1:29" x14ac:dyDescent="0.3">
      <c r="A47" s="2">
        <v>43069</v>
      </c>
      <c r="B47">
        <v>6.81</v>
      </c>
      <c r="C47" s="5">
        <v>0.98480999999999996</v>
      </c>
      <c r="D47" s="5">
        <v>0.75744</v>
      </c>
      <c r="E47" s="7"/>
      <c r="G47">
        <f t="shared" si="0"/>
        <v>1.0849315068493151</v>
      </c>
      <c r="I47" s="8" cm="1">
        <f t="array" ref="I47">BSCall(B47,6,0,0.2,G47)</f>
        <v>1.0310964243846783</v>
      </c>
      <c r="J47" cm="1">
        <f t="array" ref="J47">DeltaC(B47,6,G47,0,0,0.2)</f>
        <v>0.76177857508735203</v>
      </c>
      <c r="K47" cm="1">
        <f t="array" ref="K47">GammaCP(B47,6,G47,0,0,0.2)</f>
        <v>0.21824251477775819</v>
      </c>
      <c r="M47">
        <f t="shared" si="3"/>
        <v>1.0239051749756962</v>
      </c>
      <c r="V47" cm="1">
        <f t="array" ref="V47">BSCall(B47,6.5,0,0.2,G47)</f>
        <v>0.72078012641339839</v>
      </c>
      <c r="W47" cm="1">
        <f t="array" ref="W47">DeltaC(B47,6.5,G47,0,0,0.2)</f>
        <v>0.6284708205672731</v>
      </c>
      <c r="X47" cm="1">
        <f t="array" ref="X47">GammaCP(B47,6.5,G47,0,0,0.2)</f>
        <v>0.26650039507157297</v>
      </c>
      <c r="Z47">
        <f t="shared" si="1"/>
        <v>0.8189200421978573</v>
      </c>
      <c r="AA47">
        <f t="shared" si="2"/>
        <v>0.24711122418827869</v>
      </c>
      <c r="AC47">
        <f t="shared" si="4"/>
        <v>1.0313964973581968</v>
      </c>
    </row>
    <row r="48" spans="1:29" x14ac:dyDescent="0.3">
      <c r="A48" s="2">
        <v>43070</v>
      </c>
      <c r="B48">
        <v>6.6539999999999999</v>
      </c>
      <c r="C48" s="5">
        <v>0.84506000000000003</v>
      </c>
      <c r="D48" s="5">
        <v>0.59740000000000004</v>
      </c>
      <c r="E48" s="7"/>
      <c r="G48">
        <f t="shared" si="0"/>
        <v>1.0821917808219179</v>
      </c>
      <c r="I48" s="8" cm="1">
        <f t="array" ref="I48">BSCall(B48,6,0,0.2,G48)</f>
        <v>0.91442089460371045</v>
      </c>
      <c r="J48" cm="1">
        <f t="array" ref="J48">DeltaC(B48,6,G48,0,0,0.2)</f>
        <v>0.72617659805446133</v>
      </c>
      <c r="K48" cm="1">
        <f t="array" ref="K48">GammaCP(B48,6,G48,0,0,0.2)</f>
        <v>0.24051137898088984</v>
      </c>
      <c r="M48">
        <f t="shared" si="3"/>
        <v>0.90506771726206958</v>
      </c>
      <c r="V48" cm="1">
        <f t="array" ref="V48">BSCall(B48,6.5,0,0.2,G48)</f>
        <v>0.62536060473982413</v>
      </c>
      <c r="W48" cm="1">
        <f t="array" ref="W48">DeltaC(B48,6.5,G48,0,0,0.2)</f>
        <v>0.58573005453662075</v>
      </c>
      <c r="X48" cm="1">
        <f t="array" ref="X48">GammaCP(B48,6.5,G48,0,0,0.2)</f>
        <v>0.28148805089421242</v>
      </c>
      <c r="Z48">
        <f t="shared" si="1"/>
        <v>0.8544283788134146</v>
      </c>
      <c r="AA48">
        <f t="shared" si="2"/>
        <v>0.22571221713444356</v>
      </c>
      <c r="AC48">
        <f t="shared" si="4"/>
        <v>0.91470618766940259</v>
      </c>
    </row>
    <row r="49" spans="1:29" x14ac:dyDescent="0.3">
      <c r="A49" s="2">
        <v>43073</v>
      </c>
      <c r="B49">
        <v>6.819</v>
      </c>
      <c r="C49" s="5">
        <v>0.96818000000000004</v>
      </c>
      <c r="D49" s="5">
        <v>0.69416</v>
      </c>
      <c r="E49" s="7"/>
      <c r="G49">
        <f t="shared" si="0"/>
        <v>1.0739726027397261</v>
      </c>
      <c r="I49" s="8" cm="1">
        <f t="array" ref="I49">BSCall(B49,6,0,0.2,G49)</f>
        <v>1.0357464710072719</v>
      </c>
      <c r="J49" cm="1">
        <f t="array" ref="J49">DeltaC(B49,6,G49,0,0,0.2)</f>
        <v>0.76453713255366051</v>
      </c>
      <c r="K49" cm="1">
        <f t="array" ref="K49">GammaCP(B49,6,G49,0,0,0.2)</f>
        <v>0.21766519704007156</v>
      </c>
      <c r="M49">
        <f t="shared" si="3"/>
        <v>1.0248868559410558</v>
      </c>
      <c r="V49" cm="1">
        <f t="array" ref="V49">BSCall(B49,6.5,0,0.2,G49)</f>
        <v>0.72373379474522803</v>
      </c>
      <c r="W49" cm="1">
        <f t="array" ref="W49">DeltaC(B49,6.5,G49,0,0,0.2)</f>
        <v>0.63110780968458668</v>
      </c>
      <c r="X49" cm="1">
        <f t="array" ref="X49">GammaCP(B49,6.5,G49,0,0,0.2)</f>
        <v>0.26688498514175268</v>
      </c>
      <c r="Z49">
        <f t="shared" si="1"/>
        <v>0.81557678085360019</v>
      </c>
      <c r="AA49">
        <f t="shared" si="2"/>
        <v>0.24982025675953878</v>
      </c>
      <c r="AC49">
        <f t="shared" si="4"/>
        <v>1.036001548751607</v>
      </c>
    </row>
    <row r="50" spans="1:29" x14ac:dyDescent="0.3">
      <c r="A50" s="2">
        <v>43074</v>
      </c>
      <c r="B50">
        <v>6.7169999999999996</v>
      </c>
      <c r="C50" s="5">
        <v>0.87560000000000004</v>
      </c>
      <c r="D50" s="5">
        <v>0.58457000000000003</v>
      </c>
      <c r="E50" s="7"/>
      <c r="G50">
        <f t="shared" si="0"/>
        <v>1.0712328767123287</v>
      </c>
      <c r="I50" s="8" cm="1">
        <f t="array" ref="I50">BSCall(B50,6,0,0.2,G50)</f>
        <v>0.95834684048870855</v>
      </c>
      <c r="J50" cm="1">
        <f t="array" ref="J50">DeltaC(B50,6,G50,0,0,0.2)</f>
        <v>0.74177354261829187</v>
      </c>
      <c r="K50" cm="1">
        <f t="array" ref="K50">GammaCP(B50,6,G50,0,0,0.2)</f>
        <v>0.23246098674870752</v>
      </c>
      <c r="M50">
        <f t="shared" si="3"/>
        <v>0.94690406842058217</v>
      </c>
      <c r="V50" cm="1">
        <f t="array" ref="V50">BSCall(B50,6.5,0,0.2,G50)</f>
        <v>0.66008191980660591</v>
      </c>
      <c r="W50" cm="1">
        <f t="array" ref="W50">DeltaC(B50,6.5,G50,0,0,0.2)</f>
        <v>0.60339497240973206</v>
      </c>
      <c r="X50" cm="1">
        <f t="array" ref="X50">GammaCP(B50,6.5,G50,0,0,0.2)</f>
        <v>0.27723016020804719</v>
      </c>
      <c r="Z50">
        <f t="shared" si="1"/>
        <v>0.838512615561948</v>
      </c>
      <c r="AA50">
        <f t="shared" si="2"/>
        <v>0.23581924608607796</v>
      </c>
      <c r="AC50">
        <f t="shared" si="4"/>
        <v>0.95860689130439658</v>
      </c>
    </row>
    <row r="51" spans="1:29" x14ac:dyDescent="0.3">
      <c r="A51" s="2">
        <v>43075</v>
      </c>
      <c r="B51">
        <v>6.6219999999999999</v>
      </c>
      <c r="C51" s="5">
        <v>0.79820999999999998</v>
      </c>
      <c r="D51" s="5">
        <v>0.52115</v>
      </c>
      <c r="E51" s="7"/>
      <c r="G51">
        <f t="shared" si="0"/>
        <v>1.0684931506849316</v>
      </c>
      <c r="I51" s="8" cm="1">
        <f t="array" ref="I51">BSCall(B51,6,0,0.2,G51)</f>
        <v>0.88835639987307946</v>
      </c>
      <c r="J51" cm="1">
        <f t="array" ref="J51">DeltaC(B51,6,G51,0,0,0.2)</f>
        <v>0.71920742793694536</v>
      </c>
      <c r="K51" cm="1">
        <f t="array" ref="K51">GammaCP(B51,6,G51,0,0,0.2)</f>
        <v>0.24622579842961681</v>
      </c>
      <c r="M51">
        <f t="shared" si="3"/>
        <v>0.87643558187184467</v>
      </c>
      <c r="V51" cm="1">
        <f t="array" ref="V51">BSCall(B51,6.5,0,0.2,G51)</f>
        <v>0.60333662680932854</v>
      </c>
      <c r="W51" cm="1">
        <f t="array" ref="W51">DeltaC(B51,6.5,G51,0,0,0.2)</f>
        <v>0.57664381793511776</v>
      </c>
      <c r="X51" cm="1">
        <f t="array" ref="X51">GammaCP(B51,6.5,G51,0,0,0.2)</f>
        <v>0.28601584247945938</v>
      </c>
      <c r="Z51">
        <f t="shared" si="1"/>
        <v>0.86088167807452787</v>
      </c>
      <c r="AA51">
        <f t="shared" si="2"/>
        <v>0.22278533030165865</v>
      </c>
      <c r="AC51">
        <f t="shared" si="4"/>
        <v>0.88862241887424309</v>
      </c>
    </row>
    <row r="52" spans="1:29" x14ac:dyDescent="0.3">
      <c r="A52" s="2">
        <v>43076</v>
      </c>
      <c r="B52">
        <v>6.766</v>
      </c>
      <c r="C52" s="5">
        <v>0.91393999999999997</v>
      </c>
      <c r="D52" s="5">
        <v>0.62961999999999996</v>
      </c>
      <c r="E52" s="7"/>
      <c r="G52">
        <f t="shared" si="0"/>
        <v>1.0657534246575342</v>
      </c>
      <c r="I52" s="8" cm="1">
        <f t="array" ref="I52">BSCall(B52,6,0,0.2,G52)</f>
        <v>0.99383802973629454</v>
      </c>
      <c r="J52" cm="1">
        <f t="array" ref="J52">DeltaC(B52,6,G52,0,0,0.2)</f>
        <v>0.75337886487934957</v>
      </c>
      <c r="K52" cm="1">
        <f t="array" ref="K52">GammaCP(B52,6,G52,0,0,0.2)</f>
        <v>0.22582959918049034</v>
      </c>
      <c r="M52">
        <f t="shared" si="3"/>
        <v>0.98000145149476492</v>
      </c>
      <c r="V52" cm="1">
        <f t="array" ref="V52">BSCall(B52,6.5,0,0.2,G52)</f>
        <v>0.68861026988229534</v>
      </c>
      <c r="W52" cm="1">
        <f t="array" ref="W52">DeltaC(B52,6.5,G52,0,0,0.2)</f>
        <v>0.61695378435828607</v>
      </c>
      <c r="X52" cm="1">
        <f t="array" ref="X52">GammaCP(B52,6.5,G52,0,0,0.2)</f>
        <v>0.27321347213085306</v>
      </c>
      <c r="Z52">
        <f t="shared" si="1"/>
        <v>0.82656831458271329</v>
      </c>
      <c r="AA52">
        <f t="shared" si="2"/>
        <v>0.24342441516689428</v>
      </c>
      <c r="AC52">
        <f t="shared" si="4"/>
        <v>0.99411402338186594</v>
      </c>
    </row>
    <row r="53" spans="1:29" x14ac:dyDescent="0.3">
      <c r="A53" s="2">
        <v>43077</v>
      </c>
      <c r="B53">
        <v>6.7279999999999998</v>
      </c>
      <c r="C53" s="5">
        <v>0.87695999999999996</v>
      </c>
      <c r="D53" s="5">
        <v>0.58123000000000002</v>
      </c>
      <c r="E53" s="7"/>
      <c r="G53">
        <f t="shared" si="0"/>
        <v>1.0630136986301371</v>
      </c>
      <c r="I53" s="8" cm="1">
        <f t="array" ref="I53">BSCall(B53,6,0,0.2,G53)</f>
        <v>0.9648000317219072</v>
      </c>
      <c r="J53" cm="1">
        <f t="array" ref="J53">DeltaC(B53,6,G53,0,0,0.2)</f>
        <v>0.74488012118447555</v>
      </c>
      <c r="K53" cm="1">
        <f t="array" ref="K53">GammaCP(B53,6,G53,0,0,0.2)</f>
        <v>0.23151277405727522</v>
      </c>
      <c r="M53">
        <f t="shared" si="3"/>
        <v>0.9513730546293494</v>
      </c>
      <c r="V53" cm="1">
        <f t="array" ref="V53">BSCall(B53,6.5,0,0.2,G53)</f>
        <v>0.66467696170994728</v>
      </c>
      <c r="W53" cm="1">
        <f t="array" ref="W53">DeltaC(B53,6.5,G53,0,0,0.2)</f>
        <v>0.60653298821014368</v>
      </c>
      <c r="X53" cm="1">
        <f t="array" ref="X53">GammaCP(B53,6.5,G53,0,0,0.2)</f>
        <v>0.27724270091254355</v>
      </c>
      <c r="Z53">
        <f t="shared" si="1"/>
        <v>0.83505453270817087</v>
      </c>
      <c r="AA53">
        <f t="shared" si="2"/>
        <v>0.23839200014256356</v>
      </c>
      <c r="AC53">
        <f t="shared" si="4"/>
        <v>0.96508138140711752</v>
      </c>
    </row>
    <row r="54" spans="1:29" x14ac:dyDescent="0.3">
      <c r="A54" s="2">
        <v>43080</v>
      </c>
      <c r="B54">
        <v>6.7869999999999999</v>
      </c>
      <c r="C54" s="5">
        <v>0.91849999999999998</v>
      </c>
      <c r="D54" s="5">
        <v>0.60838999999999999</v>
      </c>
      <c r="E54" s="7"/>
      <c r="G54">
        <f t="shared" si="0"/>
        <v>1.0547945205479452</v>
      </c>
      <c r="I54" s="8" cm="1">
        <f t="array" ref="I54">BSCall(B54,6,0,0.2,G54)</f>
        <v>1.0074553337137502</v>
      </c>
      <c r="J54" cm="1">
        <f t="array" ref="J54">DeltaC(B54,6,G54,0,0,0.2)</f>
        <v>0.7588883101930417</v>
      </c>
      <c r="K54" cm="1">
        <f t="array" ref="K54">GammaCP(B54,6,G54,0,0,0.2)</f>
        <v>0.22355493825450345</v>
      </c>
      <c r="M54">
        <f t="shared" si="3"/>
        <v>0.99532098177923356</v>
      </c>
      <c r="V54" cm="1">
        <f t="array" ref="V54">BSCall(B54,6.5,0,0.2,G54)</f>
        <v>0.69888226179129997</v>
      </c>
      <c r="W54" cm="1">
        <f t="array" ref="W54">DeltaC(B54,6.5,G54,0,0,0.2)</f>
        <v>0.62287915068203936</v>
      </c>
      <c r="X54" cm="1">
        <f t="array" ref="X54">GammaCP(B54,6.5,G54,0,0,0.2)</f>
        <v>0.27248187453872774</v>
      </c>
      <c r="Z54">
        <f t="shared" si="1"/>
        <v>0.82043966642900379</v>
      </c>
      <c r="AA54">
        <f t="shared" si="2"/>
        <v>0.24785354758188816</v>
      </c>
      <c r="AC54">
        <f t="shared" si="4"/>
        <v>1.0077098002911056</v>
      </c>
    </row>
    <row r="55" spans="1:29" x14ac:dyDescent="0.3">
      <c r="A55" s="2">
        <v>43081</v>
      </c>
      <c r="B55">
        <v>6.8070000000000004</v>
      </c>
      <c r="C55" s="5">
        <v>0.92886999999999997</v>
      </c>
      <c r="D55" s="5">
        <v>0.59985999999999995</v>
      </c>
      <c r="E55" s="7"/>
      <c r="G55">
        <f t="shared" si="0"/>
        <v>1.0520547945205478</v>
      </c>
      <c r="I55" s="8" cm="1">
        <f t="array" ref="I55">BSCall(B55,6,0,0.2,G55)</f>
        <v>1.0221171922237415</v>
      </c>
      <c r="J55" cm="1">
        <f t="array" ref="J55">DeltaC(B55,6,G55,0,0,0.2)</f>
        <v>0.76353568519745951</v>
      </c>
      <c r="K55" cm="1">
        <f t="array" ref="K55">GammaCP(B55,6,G55,0,0,0.2)</f>
        <v>0.22082444726796549</v>
      </c>
      <c r="M55">
        <f t="shared" si="3"/>
        <v>1.0104987479830947</v>
      </c>
      <c r="V55" cm="1">
        <f t="array" ref="V55">BSCall(B55,6.5,0,0.2,G55)</f>
        <v>0.7107071573144923</v>
      </c>
      <c r="W55" cm="1">
        <f t="array" ref="W55">DeltaC(B55,6.5,G55,0,0,0.2)</f>
        <v>0.62836848293393144</v>
      </c>
      <c r="X55" cm="1">
        <f t="array" ref="X55">GammaCP(B55,6.5,G55,0,0,0.2)</f>
        <v>0.27077571862264843</v>
      </c>
      <c r="Z55">
        <f t="shared" si="1"/>
        <v>0.81552529300348842</v>
      </c>
      <c r="AA55">
        <f t="shared" si="2"/>
        <v>0.25108529403860758</v>
      </c>
      <c r="AC55">
        <f t="shared" si="4"/>
        <v>1.022368484581349</v>
      </c>
    </row>
    <row r="56" spans="1:29" x14ac:dyDescent="0.3">
      <c r="A56" s="2">
        <v>43082</v>
      </c>
      <c r="B56">
        <v>6.5869999999999997</v>
      </c>
      <c r="C56" s="5">
        <v>0.75126000000000004</v>
      </c>
      <c r="D56" s="5">
        <v>0.44650000000000001</v>
      </c>
      <c r="E56" s="7"/>
      <c r="G56">
        <f t="shared" si="0"/>
        <v>1.0493150684931507</v>
      </c>
      <c r="I56" s="8" cm="1">
        <f t="array" ref="I56">BSCall(B56,6,0,0.2,G56)</f>
        <v>0.85914083240650774</v>
      </c>
      <c r="J56" cm="1">
        <f t="array" ref="J56">DeltaC(B56,6,G56,0,0,0.2)</f>
        <v>0.71158809942763857</v>
      </c>
      <c r="K56" cm="1">
        <f t="array" ref="K56">GammaCP(B56,6,G56,0,0,0.2)</f>
        <v>0.25299987902789478</v>
      </c>
      <c r="M56">
        <f t="shared" si="3"/>
        <v>0.84252089723965318</v>
      </c>
      <c r="V56" cm="1">
        <f t="array" ref="V56">BSCall(B56,6.5,0,0.2,G56)</f>
        <v>0.57850054534815598</v>
      </c>
      <c r="W56" cm="1">
        <f t="array" ref="W56">DeltaC(B56,6.5,G56,0,0,0.2)</f>
        <v>0.56644648053710034</v>
      </c>
      <c r="X56" cm="1">
        <f t="array" ref="X56">GammaCP(B56,6.5,G56,0,0,0.2)</f>
        <v>0.29151383072800113</v>
      </c>
      <c r="Z56">
        <f t="shared" si="1"/>
        <v>0.86788293507747138</v>
      </c>
      <c r="AA56">
        <f t="shared" si="2"/>
        <v>0.21997886533479616</v>
      </c>
      <c r="AC56">
        <f t="shared" si="4"/>
        <v>0.85931188393201019</v>
      </c>
    </row>
    <row r="57" spans="1:29" x14ac:dyDescent="0.3">
      <c r="A57" s="2">
        <v>43083</v>
      </c>
      <c r="B57">
        <v>6.585</v>
      </c>
      <c r="C57" s="5">
        <v>0.76575000000000004</v>
      </c>
      <c r="D57" s="5">
        <v>0.49367</v>
      </c>
      <c r="E57" s="7"/>
      <c r="G57">
        <f t="shared" si="0"/>
        <v>1.0465753424657533</v>
      </c>
      <c r="I57" s="8" cm="1">
        <f t="array" ref="I57">BSCall(B57,6,0,0.2,G57)</f>
        <v>0.85711603581833717</v>
      </c>
      <c r="J57" cm="1">
        <f t="array" ref="J57">DeltaC(B57,6,G57,0,0,0.2)</f>
        <v>0.71123903965724355</v>
      </c>
      <c r="K57" cm="1">
        <f t="array" ref="K57">GammaCP(B57,6,G57,0,0,0.2)</f>
        <v>0.25355219637973414</v>
      </c>
      <c r="M57">
        <f t="shared" si="3"/>
        <v>0.84109772104079805</v>
      </c>
      <c r="V57" cm="1">
        <f t="array" ref="V57">BSCall(B57,6.5,0,0.2,G57)</f>
        <v>0.57667475770413112</v>
      </c>
      <c r="W57" cm="1">
        <f t="array" ref="W57">DeltaC(B57,6.5,G57,0,0,0.2)</f>
        <v>0.56584327709957116</v>
      </c>
      <c r="X57" cm="1">
        <f t="array" ref="X57">GammaCP(B57,6.5,G57,0,0,0.2)</f>
        <v>0.29205837183302652</v>
      </c>
      <c r="Z57">
        <f t="shared" si="1"/>
        <v>0.8681558922224395</v>
      </c>
      <c r="AA57">
        <f t="shared" si="2"/>
        <v>0.2199988645687963</v>
      </c>
      <c r="AC57">
        <f t="shared" si="4"/>
        <v>0.85728735626201624</v>
      </c>
    </row>
    <row r="58" spans="1:29" x14ac:dyDescent="0.3">
      <c r="A58" s="2">
        <v>43084</v>
      </c>
      <c r="B58">
        <v>6.6360000000000001</v>
      </c>
      <c r="C58" s="5">
        <v>0.81208999999999998</v>
      </c>
      <c r="D58" s="5">
        <v>0.55442000000000002</v>
      </c>
      <c r="E58" s="7"/>
      <c r="G58">
        <f t="shared" si="0"/>
        <v>1.0438356164383562</v>
      </c>
      <c r="I58" s="8" cm="1">
        <f t="array" ref="I58">BSCall(B58,6,0,0.2,G58)</f>
        <v>0.89312142576005638</v>
      </c>
      <c r="J58" cm="1">
        <f t="array" ref="J58">DeltaC(B58,6,G58,0,0,0.2)</f>
        <v>0.7241541035655914</v>
      </c>
      <c r="K58" cm="1">
        <f t="array" ref="K58">GammaCP(B58,6,G58,0,0,0.2)</f>
        <v>0.24644694259959662</v>
      </c>
      <c r="M58">
        <f t="shared" si="3"/>
        <v>0.87737091206331763</v>
      </c>
      <c r="V58" cm="1">
        <f t="array" ref="V58">BSCall(B58,6.5,0,0.2,G58)</f>
        <v>0.60521586476302636</v>
      </c>
      <c r="W58" cm="1">
        <f t="array" ref="W58">DeltaC(B58,6.5,G58,0,0,0.2)</f>
        <v>0.58063059335604805</v>
      </c>
      <c r="X58" cm="1">
        <f t="array" ref="X58">GammaCP(B58,6.5,G58,0,0,0.2)</f>
        <v>0.28818041805283334</v>
      </c>
      <c r="Z58">
        <f t="shared" si="1"/>
        <v>0.85518282007077406</v>
      </c>
      <c r="AA58">
        <f t="shared" si="2"/>
        <v>0.22760879531999939</v>
      </c>
      <c r="AC58">
        <f t="shared" si="4"/>
        <v>0.89328542861875626</v>
      </c>
    </row>
    <row r="59" spans="1:29" x14ac:dyDescent="0.3">
      <c r="A59" s="2">
        <v>43087</v>
      </c>
      <c r="B59">
        <v>6.7549999999999999</v>
      </c>
      <c r="C59" s="5">
        <v>0.90346000000000004</v>
      </c>
      <c r="D59" s="5">
        <v>0.63275999999999999</v>
      </c>
      <c r="E59" s="7"/>
      <c r="G59">
        <f t="shared" si="0"/>
        <v>1.0356164383561643</v>
      </c>
      <c r="I59" s="8" cm="1">
        <f t="array" ref="I59">BSCall(B59,6,0,0.2,G59)</f>
        <v>0.9792796005472777</v>
      </c>
      <c r="J59" cm="1">
        <f t="array" ref="J59">DeltaC(B59,6,G59,0,0,0.2)</f>
        <v>0.75304496240298491</v>
      </c>
      <c r="K59" cm="1">
        <f t="array" ref="K59">GammaCP(B59,6,G59,0,0,0.2)</f>
        <v>0.22963124775417407</v>
      </c>
      <c r="M59">
        <f t="shared" si="3"/>
        <v>0.96354525038762284</v>
      </c>
      <c r="V59" cm="1">
        <f t="array" ref="V59">BSCall(B59,6.5,0,0.2,G59)</f>
        <v>0.67424369792548422</v>
      </c>
      <c r="W59" cm="1">
        <f t="array" ref="W59">DeltaC(B59,6.5,G59,0,0,0.2)</f>
        <v>0.61440999310926458</v>
      </c>
      <c r="X59" cm="1">
        <f t="array" ref="X59">GammaCP(B59,6.5,G59,0,0,0.2)</f>
        <v>0.27815589143373037</v>
      </c>
      <c r="Z59">
        <f t="shared" si="1"/>
        <v>0.82554874739686346</v>
      </c>
      <c r="AA59">
        <f t="shared" si="2"/>
        <v>0.24581956220351597</v>
      </c>
      <c r="AC59">
        <f t="shared" si="4"/>
        <v>0.97940229228908171</v>
      </c>
    </row>
    <row r="60" spans="1:29" x14ac:dyDescent="0.3">
      <c r="A60" s="2">
        <v>43088</v>
      </c>
      <c r="B60">
        <v>6.6719999999999997</v>
      </c>
      <c r="C60" s="5">
        <v>0.83111000000000002</v>
      </c>
      <c r="D60" s="5">
        <v>0.55537000000000003</v>
      </c>
      <c r="E60" s="7"/>
      <c r="G60">
        <f t="shared" si="0"/>
        <v>1.0328767123287672</v>
      </c>
      <c r="I60" s="8" cm="1">
        <f t="array" ref="I60">BSCall(B60,6,0,0.2,G60)</f>
        <v>0.91699160091001719</v>
      </c>
      <c r="J60" cm="1">
        <f t="array" ref="J60">DeltaC(B60,6,G60,0,0,0.2)</f>
        <v>0.73365844183878925</v>
      </c>
      <c r="K60" cm="1">
        <f t="array" ref="K60">GammaCP(B60,6,G60,0,0,0.2)</f>
        <v>0.24214236414956491</v>
      </c>
      <c r="M60">
        <f t="shared" si="3"/>
        <v>0.90104251850817496</v>
      </c>
      <c r="V60" cm="1">
        <f t="array" ref="V60">BSCall(B60,6.5,0,0.2,G60)</f>
        <v>0.62351677628865732</v>
      </c>
      <c r="W60" cm="1">
        <f t="array" ref="W60">DeltaC(B60,6.5,G60,0,0,0.2)</f>
        <v>0.59100184965843938</v>
      </c>
      <c r="X60" cm="1">
        <f t="array" ref="X60">GammaCP(B60,6.5,G60,0,0,0.2)</f>
        <v>0.28648403505563491</v>
      </c>
      <c r="Z60">
        <f t="shared" si="1"/>
        <v>0.84522114505452672</v>
      </c>
      <c r="AA60">
        <f t="shared" si="2"/>
        <v>0.23413118174113989</v>
      </c>
      <c r="AC60">
        <f t="shared" si="4"/>
        <v>0.91712172200960862</v>
      </c>
    </row>
    <row r="61" spans="1:29" x14ac:dyDescent="0.3">
      <c r="A61" s="2">
        <v>43089</v>
      </c>
      <c r="B61">
        <v>6.6230000000000002</v>
      </c>
      <c r="C61" s="5">
        <v>0.79339999999999999</v>
      </c>
      <c r="D61" s="5">
        <v>0.53042</v>
      </c>
      <c r="E61" s="7"/>
      <c r="G61">
        <f t="shared" si="0"/>
        <v>1.0301369863013699</v>
      </c>
      <c r="I61" s="8" cm="1">
        <f t="array" ref="I61">BSCall(B61,6,0,0.2,G61)</f>
        <v>0.8807362909917078</v>
      </c>
      <c r="J61" cm="1">
        <f t="array" ref="J61">DeltaC(B61,6,G61,0,0,0.2)</f>
        <v>0.72178809430024882</v>
      </c>
      <c r="K61" cm="1">
        <f t="array" ref="K61">GammaCP(B61,6,G61,0,0,0.2)</f>
        <v>0.24960839611184496</v>
      </c>
      <c r="M61">
        <f t="shared" si="3"/>
        <v>0.86509325485807465</v>
      </c>
      <c r="V61" cm="1">
        <f t="array" ref="V61">BSCall(B61,6.5,0,0.2,G61)</f>
        <v>0.59420389634904103</v>
      </c>
      <c r="W61" cm="1">
        <f t="array" ref="W61">DeltaC(B61,6.5,G61,0,0,0.2)</f>
        <v>0.57685166077140448</v>
      </c>
      <c r="X61" cm="1">
        <f t="array" ref="X61">GammaCP(B61,6.5,G61,0,0,0.2)</f>
        <v>0.29121803279747965</v>
      </c>
      <c r="Z61">
        <f t="shared" si="1"/>
        <v>0.85711861217546548</v>
      </c>
      <c r="AA61">
        <f t="shared" si="2"/>
        <v>0.22735779938875023</v>
      </c>
      <c r="AC61">
        <f t="shared" si="4"/>
        <v>0.88087342815688452</v>
      </c>
    </row>
    <row r="62" spans="1:29" x14ac:dyDescent="0.3">
      <c r="A62" s="2">
        <v>43090</v>
      </c>
      <c r="B62">
        <v>6.7409999999999997</v>
      </c>
      <c r="C62" s="5">
        <v>0.88804000000000005</v>
      </c>
      <c r="D62" s="5">
        <v>0.61653000000000002</v>
      </c>
      <c r="E62" s="7"/>
      <c r="G62">
        <f t="shared" si="0"/>
        <v>1.0273972602739727</v>
      </c>
      <c r="I62" s="8" cm="1">
        <f t="array" ref="I62">BSCall(B62,6,0,0.2,G62)</f>
        <v>0.96702639945293001</v>
      </c>
      <c r="J62" cm="1">
        <f t="array" ref="J62">DeltaC(B62,6,G62,0,0,0.2)</f>
        <v>0.7504126771584545</v>
      </c>
      <c r="K62" cm="1">
        <f t="array" ref="K62">GammaCP(B62,6,G62,0,0,0.2)</f>
        <v>0.23233648368107199</v>
      </c>
      <c r="M62">
        <f t="shared" si="3"/>
        <v>0.95026424998550363</v>
      </c>
      <c r="V62" cm="1">
        <f t="array" ref="V62">BSCall(B62,6.5,0,0.2,G62)</f>
        <v>0.66357704582512733</v>
      </c>
      <c r="W62" cm="1">
        <f t="array" ref="W62">DeltaC(B62,6.5,G62,0,0,0.2)</f>
        <v>0.61062472686597236</v>
      </c>
      <c r="X62" cm="1">
        <f t="array" ref="X62">GammaCP(B62,6.5,G62,0,0,0.2)</f>
        <v>0.28063818642064525</v>
      </c>
      <c r="Z62">
        <f t="shared" si="1"/>
        <v>0.82788620694984671</v>
      </c>
      <c r="AA62">
        <f t="shared" si="2"/>
        <v>0.24488488816359844</v>
      </c>
      <c r="AC62">
        <f t="shared" si="4"/>
        <v>0.96716266608594104</v>
      </c>
    </row>
    <row r="63" spans="1:29" x14ac:dyDescent="0.3">
      <c r="A63" s="2">
        <v>43091</v>
      </c>
      <c r="B63">
        <v>6.681</v>
      </c>
      <c r="C63" s="5">
        <v>0.83526999999999996</v>
      </c>
      <c r="D63" s="5">
        <v>0.55869000000000002</v>
      </c>
      <c r="E63" s="7"/>
      <c r="G63">
        <f t="shared" si="0"/>
        <v>1.0246575342465754</v>
      </c>
      <c r="I63" s="8" cm="1">
        <f t="array" ref="I63">BSCall(B63,6,0,0.2,G63)</f>
        <v>0.92183480788692318</v>
      </c>
      <c r="J63" cm="1">
        <f t="array" ref="J63">DeltaC(B63,6,G63,0,0,0.2)</f>
        <v>0.736391267275738</v>
      </c>
      <c r="K63" cm="1">
        <f t="array" ref="K63">GammaCP(B63,6,G63,0,0,0.2)</f>
        <v>0.24151506673882947</v>
      </c>
      <c r="M63">
        <f t="shared" si="3"/>
        <v>0.90523948935599663</v>
      </c>
      <c r="V63" cm="1">
        <f t="array" ref="V63">BSCall(B63,6.5,0,0.2,G63)</f>
        <v>0.62674726686135562</v>
      </c>
      <c r="W63" cm="1">
        <f t="array" ref="W63">DeltaC(B63,6.5,G63,0,0,0.2)</f>
        <v>0.59362911870359403</v>
      </c>
      <c r="X63" cm="1">
        <f t="array" ref="X63">GammaCP(B63,6.5,G63,0,0,0.2)</f>
        <v>0.28678970492006256</v>
      </c>
      <c r="Z63">
        <f t="shared" si="1"/>
        <v>0.84213297268166376</v>
      </c>
      <c r="AA63">
        <f t="shared" si="2"/>
        <v>0.23647661287148414</v>
      </c>
      <c r="AC63">
        <f t="shared" si="4"/>
        <v>0.921978706787007</v>
      </c>
    </row>
    <row r="64" spans="1:29" x14ac:dyDescent="0.3">
      <c r="A64" s="2">
        <v>43096</v>
      </c>
      <c r="B64">
        <v>6.6479999999999997</v>
      </c>
      <c r="C64" s="5">
        <v>0.80713999999999997</v>
      </c>
      <c r="D64" s="5">
        <v>0.53768000000000005</v>
      </c>
      <c r="E64" s="7"/>
      <c r="G64">
        <f t="shared" si="0"/>
        <v>1.010958904109589</v>
      </c>
      <c r="I64" s="8" cm="1">
        <f t="array" ref="I64">BSCall(B64,6,0,0.2,G64)</f>
        <v>0.89467494145917037</v>
      </c>
      <c r="J64" cm="1">
        <f t="array" ref="J64">DeltaC(B64,6,G64,0,0,0.2)</f>
        <v>0.72924875353463947</v>
      </c>
      <c r="K64" cm="1">
        <f t="array" ref="K64">GammaCP(B64,6,G64,0,0,0.2)</f>
        <v>0.24767264083729398</v>
      </c>
      <c r="M64">
        <f t="shared" si="3"/>
        <v>0.88093857753589699</v>
      </c>
      <c r="V64" cm="1">
        <f t="array" ref="V64">BSCall(B64,6.5,0,0.2,G64)</f>
        <v>0.60379338436210039</v>
      </c>
      <c r="W64" cm="1">
        <f t="array" ref="W64">DeltaC(B64,6.5,G64,0,0,0.2)</f>
        <v>0.58414309490680072</v>
      </c>
      <c r="X64" cm="1">
        <f t="array" ref="X64">GammaCP(B64,6.5,G64,0,0,0.2)</f>
        <v>0.29175370418850094</v>
      </c>
      <c r="Z64">
        <f t="shared" si="1"/>
        <v>0.84891001307484226</v>
      </c>
      <c r="AA64">
        <f t="shared" si="2"/>
        <v>0.23336383119972842</v>
      </c>
      <c r="AC64">
        <f t="shared" si="4"/>
        <v>0.89484475725856449</v>
      </c>
    </row>
    <row r="65" spans="1:29" x14ac:dyDescent="0.3">
      <c r="A65" s="2">
        <v>43097</v>
      </c>
      <c r="B65">
        <v>6.6349999999999998</v>
      </c>
      <c r="C65" s="5">
        <v>0.79893000000000003</v>
      </c>
      <c r="D65" s="5">
        <v>0.53954000000000002</v>
      </c>
      <c r="E65" s="7"/>
      <c r="G65">
        <f t="shared" si="0"/>
        <v>1.0082191780821919</v>
      </c>
      <c r="I65" s="8" cm="1">
        <f t="array" ref="I65">BSCall(B65,6,0,0.2,G65)</f>
        <v>0.88461322687246025</v>
      </c>
      <c r="J65" cm="1">
        <f t="array" ref="J65">DeltaC(B65,6,G65,0,0,0.2)</f>
        <v>0.72619710577917707</v>
      </c>
      <c r="K65" cm="1">
        <f t="array" ref="K65">GammaCP(B65,6,G65,0,0,0.2)</f>
        <v>0.24988262030957922</v>
      </c>
      <c r="M65">
        <f t="shared" si="3"/>
        <v>0.87145834373994679</v>
      </c>
      <c r="V65" cm="1">
        <f t="array" ref="V65">BSCall(B65,6.5,0,0.2,G65)</f>
        <v>0.59551714801005584</v>
      </c>
      <c r="W65" cm="1">
        <f t="array" ref="W65">DeltaC(B65,6.5,G65,0,0,0.2)</f>
        <v>0.58034367687077326</v>
      </c>
      <c r="X65" cm="1">
        <f t="array" ref="X65">GammaCP(B65,6.5,G65,0,0,0.2)</f>
        <v>0.2933143207466144</v>
      </c>
      <c r="Z65">
        <f t="shared" si="1"/>
        <v>0.85192778747903497</v>
      </c>
      <c r="AA65">
        <f t="shared" si="2"/>
        <v>0.2317862011652112</v>
      </c>
      <c r="AC65">
        <f t="shared" si="4"/>
        <v>0.88478524754314336</v>
      </c>
    </row>
    <row r="66" spans="1:29" x14ac:dyDescent="0.3">
      <c r="A66" s="2">
        <v>43098</v>
      </c>
      <c r="B66">
        <v>6.5960000000000001</v>
      </c>
      <c r="C66" s="5">
        <v>0.77159999999999995</v>
      </c>
      <c r="D66" s="5">
        <v>0.52690999999999999</v>
      </c>
      <c r="E66" s="7"/>
      <c r="G66">
        <f t="shared" si="0"/>
        <v>1.0054794520547945</v>
      </c>
      <c r="I66" s="8" cm="1">
        <f t="array" ref="I66">BSCall(B66,6,0,0.2,G66)</f>
        <v>0.85587309218401231</v>
      </c>
      <c r="J66" cm="1">
        <f t="array" ref="J66">DeltaC(B66,6,G66,0,0,0.2)</f>
        <v>0.71650878670370521</v>
      </c>
      <c r="K66" cm="1">
        <f t="array" ref="K66">GammaCP(B66,6,G66,0,0,0.2)</f>
        <v>0.25600069388279484</v>
      </c>
      <c r="M66">
        <f t="shared" si="3"/>
        <v>0.84313665661455905</v>
      </c>
      <c r="V66" cm="1">
        <f t="array" ref="V66">BSCall(B66,6.5,0,0.2,G66)</f>
        <v>0.57239991511558364</v>
      </c>
      <c r="W66" cm="1">
        <f t="array" ref="W66">DeltaC(B66,6.5,G66,0,0,0.2)</f>
        <v>0.56882351767589778</v>
      </c>
      <c r="X66" cm="1">
        <f t="array" ref="X66">GammaCP(B66,6.5,G66,0,0,0.2)</f>
        <v>0.29708810439130717</v>
      </c>
      <c r="Z66">
        <f t="shared" si="1"/>
        <v>0.86169957699014976</v>
      </c>
      <c r="AA66">
        <f t="shared" si="2"/>
        <v>0.22635380214033513</v>
      </c>
      <c r="AC66">
        <f t="shared" si="4"/>
        <v>0.85605137262527498</v>
      </c>
    </row>
    <row r="67" spans="1:29" x14ac:dyDescent="0.3">
      <c r="A67" s="2">
        <v>43102</v>
      </c>
      <c r="B67">
        <v>6.6760000000000002</v>
      </c>
      <c r="C67" s="5">
        <v>0.83662000000000003</v>
      </c>
      <c r="D67" s="5">
        <v>0.58894000000000002</v>
      </c>
      <c r="E67" s="7"/>
      <c r="G67">
        <f t="shared" si="0"/>
        <v>0.9945205479452055</v>
      </c>
      <c r="I67" s="8" cm="1">
        <f t="array" ref="I67">BSCall(B67,6,0,0.2,G67)</f>
        <v>0.91161254902813038</v>
      </c>
      <c r="J67" cm="1">
        <f t="array" ref="J67">DeltaC(B67,6,G67,0,0,0.2)</f>
        <v>0.7372831285846454</v>
      </c>
      <c r="K67" cm="1">
        <f t="array" ref="K67">GammaCP(B67,6,G67,0,0,0.2)</f>
        <v>0.24490627818758878</v>
      </c>
      <c r="M67">
        <f t="shared" si="3"/>
        <v>0.90045735955085549</v>
      </c>
      <c r="V67" cm="1">
        <f t="array" ref="V67">BSCall(B67,6.5,0,0.2,G67)</f>
        <v>0.61600890133037201</v>
      </c>
      <c r="W67" cm="1">
        <f t="array" ref="W67">DeltaC(B67,6.5,G67,0,0,0.2)</f>
        <v>0.59238224035730958</v>
      </c>
      <c r="X67" cm="1">
        <f t="array" ref="X67">GammaCP(B67,6.5,G67,0,0,0.2)</f>
        <v>0.29154092021489719</v>
      </c>
      <c r="Z67">
        <f t="shared" si="1"/>
        <v>0.84004083545824837</v>
      </c>
      <c r="AA67">
        <f t="shared" si="2"/>
        <v>0.23965785648426219</v>
      </c>
      <c r="AC67">
        <f t="shared" si="4"/>
        <v>0.91173752177075418</v>
      </c>
    </row>
    <row r="68" spans="1:29" x14ac:dyDescent="0.3">
      <c r="A68" s="2">
        <v>43103</v>
      </c>
      <c r="B68">
        <v>6.6719999999999997</v>
      </c>
      <c r="C68" s="5">
        <v>0.83021</v>
      </c>
      <c r="D68" s="5">
        <v>0.57708999999999999</v>
      </c>
      <c r="E68" s="7"/>
      <c r="G68">
        <f t="shared" si="0"/>
        <v>0.99178082191780825</v>
      </c>
      <c r="I68" s="8" cm="1">
        <f t="array" ref="I68">BSCall(B68,6,0,0.2,G68)</f>
        <v>0.90806620249523728</v>
      </c>
      <c r="J68" cm="1">
        <f t="array" ref="J68">DeltaC(B68,6,G68,0,0,0.2)</f>
        <v>0.73649735890124823</v>
      </c>
      <c r="K68" cm="1">
        <f t="array" ref="K68">GammaCP(B68,6,G68,0,0,0.2)</f>
        <v>0.24576609523665366</v>
      </c>
      <c r="M68">
        <f t="shared" si="3"/>
        <v>0.89750822703651656</v>
      </c>
      <c r="V68" cm="1">
        <f t="array" ref="V68">BSCall(B68,6.5,0,0.2,G68)</f>
        <v>0.61292916569082845</v>
      </c>
      <c r="W68" cm="1">
        <f t="array" ref="W68">DeltaC(B68,6.5,G68,0,0,0.2)</f>
        <v>0.59123213326554103</v>
      </c>
      <c r="X68" cm="1">
        <f t="array" ref="X68">GammaCP(B68,6.5,G68,0,0,0.2)</f>
        <v>0.29231930470027623</v>
      </c>
      <c r="Z68">
        <f t="shared" si="1"/>
        <v>0.84074534690291847</v>
      </c>
      <c r="AA68">
        <f t="shared" si="2"/>
        <v>0.23942169391875845</v>
      </c>
      <c r="AC68">
        <f t="shared" si="4"/>
        <v>0.90819178664518441</v>
      </c>
    </row>
    <row r="69" spans="1:29" x14ac:dyDescent="0.3">
      <c r="A69" s="2">
        <v>43104</v>
      </c>
      <c r="B69">
        <v>6.9080000000000004</v>
      </c>
      <c r="C69" s="5">
        <v>1.01624</v>
      </c>
      <c r="D69" s="5">
        <v>0.71897</v>
      </c>
      <c r="E69" s="7"/>
      <c r="G69">
        <f t="shared" ref="G69:G132" si="5">(E$4-A69)/365</f>
        <v>0.989041095890411</v>
      </c>
      <c r="I69" s="8" cm="1">
        <f t="array" ref="I69">BSCall(B69,6,0,0.2,G69)</f>
        <v>1.0878377711133593</v>
      </c>
      <c r="J69" cm="1">
        <f t="array" ref="J69">DeltaC(B69,6,G69,0,0,0.2)</f>
        <v>0.79043941509510152</v>
      </c>
      <c r="K69" cm="1">
        <f t="array" ref="K69">GammaCP(B69,6,G69,0,0,0.2)</f>
        <v>0.20949400550883496</v>
      </c>
      <c r="M69">
        <f t="shared" si="3"/>
        <v>1.0713216037372115</v>
      </c>
      <c r="V69" cm="1">
        <f t="array" ref="V69">BSCall(B69,6.5,0,0.2,G69)</f>
        <v>0.75968011063536789</v>
      </c>
      <c r="W69" cm="1">
        <f t="array" ref="W69">DeltaC(B69,6.5,G69,0,0,0.2)</f>
        <v>0.6574531435720774</v>
      </c>
      <c r="X69" cm="1">
        <f t="array" ref="X69">GammaCP(B69,6.5,G69,0,0,0.2)</f>
        <v>0.26743059463838142</v>
      </c>
      <c r="Z69">
        <f t="shared" ref="Z69:Z132" si="6">K69/X69</f>
        <v>0.78335841040219023</v>
      </c>
      <c r="AA69">
        <f t="shared" ref="AA69:AA132" si="7">J69-W69*Z69</f>
        <v>0.27541796563255605</v>
      </c>
      <c r="AC69">
        <f t="shared" si="4"/>
        <v>1.0880754805257395</v>
      </c>
    </row>
    <row r="70" spans="1:29" x14ac:dyDescent="0.3">
      <c r="A70" s="2">
        <v>43105</v>
      </c>
      <c r="B70">
        <v>6.8879999999999999</v>
      </c>
      <c r="C70" s="5">
        <v>0.99148000000000003</v>
      </c>
      <c r="D70" s="5">
        <v>0.65629999999999999</v>
      </c>
      <c r="E70" s="7"/>
      <c r="G70">
        <f t="shared" si="5"/>
        <v>0.98630136986301364</v>
      </c>
      <c r="I70" s="8" cm="1">
        <f t="array" ref="I70">BSCall(B70,6,0,0.2,G70)</f>
        <v>1.0715182688189646</v>
      </c>
      <c r="J70" cm="1">
        <f t="array" ref="J70">DeltaC(B70,6,G70,0,0,0.2)</f>
        <v>0.78645906284751765</v>
      </c>
      <c r="K70" cm="1">
        <f t="array" ref="K70">GammaCP(B70,6,G70,0,0,0.2)</f>
        <v>0.2127244449160523</v>
      </c>
      <c r="M70">
        <f t="shared" ref="M70:M133" si="8">M69+J69*(B70-B69)</f>
        <v>1.0555128154353091</v>
      </c>
      <c r="V70" cm="1">
        <f t="array" ref="V70">BSCall(B70,6.5,0,0.2,G70)</f>
        <v>0.74588292276796198</v>
      </c>
      <c r="W70" cm="1">
        <f t="array" ref="W70">DeltaC(B70,6.5,G70,0,0,0.2)</f>
        <v>0.65217967922614917</v>
      </c>
      <c r="X70" cm="1">
        <f t="array" ref="X70">GammaCP(B70,6.5,G70,0,0,0.2)</f>
        <v>0.27011483731111241</v>
      </c>
      <c r="Z70">
        <f t="shared" si="6"/>
        <v>0.78753335815848169</v>
      </c>
      <c r="AA70">
        <f t="shared" si="7"/>
        <v>0.27284580994382701</v>
      </c>
      <c r="AC70">
        <f t="shared" ref="AC70:AC133" si="9">AC69+AA69*(B70-B69)+Z69*(V70-V69)</f>
        <v>1.0717589780572567</v>
      </c>
    </row>
    <row r="71" spans="1:29" x14ac:dyDescent="0.3">
      <c r="A71" s="2">
        <v>43108</v>
      </c>
      <c r="B71">
        <v>6.9</v>
      </c>
      <c r="C71" s="5">
        <v>0.99289000000000005</v>
      </c>
      <c r="D71" s="5">
        <v>0.62807000000000002</v>
      </c>
      <c r="E71" s="7"/>
      <c r="G71">
        <f t="shared" si="5"/>
        <v>0.9780821917808219</v>
      </c>
      <c r="I71" s="8" cm="1">
        <f t="array" ref="I71">BSCall(B71,6,0,0.2,G71)</f>
        <v>1.079318918105443</v>
      </c>
      <c r="J71" cm="1">
        <f t="array" ref="J71">DeltaC(B71,6,G71,0,0,0.2)</f>
        <v>0.78973271559139802</v>
      </c>
      <c r="K71" cm="1">
        <f t="array" ref="K71">GammaCP(B71,6,G71,0,0,0.2)</f>
        <v>0.21132634616055959</v>
      </c>
      <c r="M71">
        <f t="shared" si="8"/>
        <v>1.0649503241894795</v>
      </c>
      <c r="V71" cm="1">
        <f t="array" ref="V71">BSCall(B71,6.5,0,0.2,G71)</f>
        <v>0.75162142968350176</v>
      </c>
      <c r="W71" cm="1">
        <f t="array" ref="W71">DeltaC(B71,6.5,G71,0,0,0.2)</f>
        <v>0.65572414887129449</v>
      </c>
      <c r="X71" cm="1">
        <f t="array" ref="X71">GammaCP(B71,6.5,G71,0,0,0.2)</f>
        <v>0.26974718778773338</v>
      </c>
      <c r="Z71">
        <f t="shared" si="6"/>
        <v>0.78342372313017139</v>
      </c>
      <c r="AA71">
        <f t="shared" si="7"/>
        <v>0.27602286153628575</v>
      </c>
      <c r="AC71">
        <f t="shared" si="9"/>
        <v>1.0795523933985935</v>
      </c>
    </row>
    <row r="72" spans="1:29" x14ac:dyDescent="0.3">
      <c r="A72" s="2">
        <v>43109</v>
      </c>
      <c r="B72">
        <v>6.9939999999999998</v>
      </c>
      <c r="C72" s="5">
        <v>1.06776</v>
      </c>
      <c r="D72" s="5">
        <v>0.66942000000000002</v>
      </c>
      <c r="E72" s="7"/>
      <c r="G72">
        <f t="shared" si="5"/>
        <v>0.97534246575342465</v>
      </c>
      <c r="I72" s="8" cm="1">
        <f t="array" ref="I72">BSCall(B72,6,0,0.2,G72)</f>
        <v>1.1539382458864305</v>
      </c>
      <c r="J72" cm="1">
        <f t="array" ref="J72">DeltaC(B72,6,G72,0,0,0.2)</f>
        <v>0.80917312778386119</v>
      </c>
      <c r="K72" cm="1">
        <f t="array" ref="K72">GammaCP(B72,6,G72,0,0,0.2)</f>
        <v>0.19696010647748285</v>
      </c>
      <c r="M72">
        <f t="shared" si="8"/>
        <v>1.1391851994550706</v>
      </c>
      <c r="V72" cm="1">
        <f t="array" ref="V72">BSCall(B72,6.5,0,0.2,G72)</f>
        <v>0.81374182720820265</v>
      </c>
      <c r="W72" cm="1">
        <f t="array" ref="W72">DeltaC(B72,6.5,G72,0,0,0.2)</f>
        <v>0.68068403048032589</v>
      </c>
      <c r="X72" cm="1">
        <f t="array" ref="X72">GammaCP(B72,6.5,G72,0,0,0.2)</f>
        <v>0.25863489917620974</v>
      </c>
      <c r="Z72">
        <f t="shared" si="6"/>
        <v>0.76153723687263319</v>
      </c>
      <c r="AA72">
        <f t="shared" si="7"/>
        <v>0.29080689202854659</v>
      </c>
      <c r="AC72">
        <f t="shared" si="9"/>
        <v>1.1541651354941316</v>
      </c>
    </row>
    <row r="73" spans="1:29" x14ac:dyDescent="0.3">
      <c r="A73" s="2">
        <v>43110</v>
      </c>
      <c r="B73">
        <v>7.04</v>
      </c>
      <c r="C73" s="5">
        <v>1.1048899999999999</v>
      </c>
      <c r="D73" s="5">
        <v>0.68698999999999999</v>
      </c>
      <c r="E73" s="7"/>
      <c r="G73">
        <f t="shared" si="5"/>
        <v>0.9726027397260274</v>
      </c>
      <c r="I73" s="8" cm="1">
        <f t="array" ref="I73">BSCall(B73,6,0,0.2,G73)</f>
        <v>1.1908500933078452</v>
      </c>
      <c r="J73" cm="1">
        <f t="array" ref="J73">DeltaC(B73,6,G73,0,0,0.2)</f>
        <v>0.81833625992084535</v>
      </c>
      <c r="K73" cm="1">
        <f t="array" ref="K73">GammaCP(B73,6,G73,0,0,0.2)</f>
        <v>0.19006322333965042</v>
      </c>
      <c r="M73">
        <f t="shared" si="8"/>
        <v>1.1764071633331283</v>
      </c>
      <c r="V73" cm="1">
        <f t="array" ref="V73">BSCall(B73,6.5,0,0.2,G73)</f>
        <v>0.84463786640730731</v>
      </c>
      <c r="W73" cm="1">
        <f t="array" ref="W73">DeltaC(B73,6.5,G73,0,0,0.2)</f>
        <v>0.69259930995816521</v>
      </c>
      <c r="X73" cm="1">
        <f t="array" ref="X73">GammaCP(B73,6.5,G73,0,0,0.2)</f>
        <v>0.25313303949387522</v>
      </c>
      <c r="Z73">
        <f t="shared" si="6"/>
        <v>0.75084320766530821</v>
      </c>
      <c r="AA73">
        <f t="shared" si="7"/>
        <v>0.29830277240507752</v>
      </c>
      <c r="AC73">
        <f t="shared" si="9"/>
        <v>1.1910707368494395</v>
      </c>
    </row>
    <row r="74" spans="1:29" x14ac:dyDescent="0.3">
      <c r="A74" s="2">
        <v>43111</v>
      </c>
      <c r="B74">
        <v>7.11</v>
      </c>
      <c r="C74" s="5">
        <v>1.16475</v>
      </c>
      <c r="D74" s="5">
        <v>0.73099000000000003</v>
      </c>
      <c r="E74" s="7"/>
      <c r="G74">
        <f t="shared" si="5"/>
        <v>0.96986301369863015</v>
      </c>
      <c r="I74" s="8" cm="1">
        <f t="array" ref="I74">BSCall(B74,6,0,0.2,G74)</f>
        <v>1.2480931564089595</v>
      </c>
      <c r="J74" cm="1">
        <f t="array" ref="J74">DeltaC(B74,6,G74,0,0,0.2)</f>
        <v>0.83154305847822751</v>
      </c>
      <c r="K74" cm="1">
        <f t="array" ref="K74">GammaCP(B74,6,G74,0,0,0.2)</f>
        <v>0.17964505272223072</v>
      </c>
      <c r="M74">
        <f t="shared" si="8"/>
        <v>1.2336907015275878</v>
      </c>
      <c r="V74" cm="1">
        <f t="array" ref="V74">BSCall(B74,6.5,0,0.2,G74)</f>
        <v>0.89305615313243436</v>
      </c>
      <c r="W74" cm="1">
        <f t="array" ref="W74">DeltaC(B74,6.5,G74,0,0,0.2)</f>
        <v>0.710175288657379</v>
      </c>
      <c r="X74" cm="1">
        <f t="array" ref="X74">GammaCP(B74,6.5,G74,0,0,0.2)</f>
        <v>0.24436225099983033</v>
      </c>
      <c r="Z74">
        <f t="shared" si="6"/>
        <v>0.73515877344883129</v>
      </c>
      <c r="AA74">
        <f t="shared" si="7"/>
        <v>0.3094514643351991</v>
      </c>
      <c r="AC74">
        <f t="shared" si="9"/>
        <v>1.248306472632148</v>
      </c>
    </row>
    <row r="75" spans="1:29" x14ac:dyDescent="0.3">
      <c r="A75" s="2">
        <v>43112</v>
      </c>
      <c r="B75">
        <v>7.1139999999999999</v>
      </c>
      <c r="C75" s="5">
        <v>1.1675599999999999</v>
      </c>
      <c r="D75" s="5">
        <v>0.73167000000000004</v>
      </c>
      <c r="E75" s="7"/>
      <c r="G75">
        <f t="shared" si="5"/>
        <v>0.9671232876712329</v>
      </c>
      <c r="I75" s="8" cm="1">
        <f t="array" ref="I75">BSCall(B75,6,0,0.2,G75)</f>
        <v>1.2509241450870725</v>
      </c>
      <c r="J75" cm="1">
        <f t="array" ref="J75">DeltaC(B75,6,G75,0,0,0.2)</f>
        <v>0.83253243625368734</v>
      </c>
      <c r="K75" cm="1">
        <f t="array" ref="K75">GammaCP(B75,6,G75,0,0,0.2)</f>
        <v>0.17911777390724484</v>
      </c>
      <c r="M75">
        <f t="shared" si="8"/>
        <v>1.2370168737615004</v>
      </c>
      <c r="V75" cm="1">
        <f t="array" ref="V75">BSCall(B75,6.5,0,0.2,G75)</f>
        <v>0.89522223972363602</v>
      </c>
      <c r="W75" cm="1">
        <f t="array" ref="W75">DeltaC(B75,6.5,G75,0,0,0.2)</f>
        <v>0.71132572656942528</v>
      </c>
      <c r="X75" cm="1">
        <f t="array" ref="X75">GammaCP(B75,6.5,G75,0,0,0.2)</f>
        <v>0.24411373806073661</v>
      </c>
      <c r="Z75">
        <f t="shared" si="6"/>
        <v>0.73374720869941179</v>
      </c>
      <c r="AA75">
        <f t="shared" si="7"/>
        <v>0.31059916990729053</v>
      </c>
      <c r="AC75">
        <f t="shared" si="9"/>
        <v>1.2511366960510604</v>
      </c>
    </row>
    <row r="76" spans="1:29" x14ac:dyDescent="0.3">
      <c r="A76" s="2">
        <v>43115</v>
      </c>
      <c r="B76">
        <v>7.1219999999999999</v>
      </c>
      <c r="C76" s="5">
        <v>1.1731400000000001</v>
      </c>
      <c r="D76" s="5">
        <v>0.73509000000000002</v>
      </c>
      <c r="E76" s="7"/>
      <c r="G76">
        <f t="shared" si="5"/>
        <v>0.95890410958904104</v>
      </c>
      <c r="I76" s="8" cm="1">
        <f t="array" ref="I76">BSCall(B76,6,0,0.2,G76)</f>
        <v>1.2561057533993152</v>
      </c>
      <c r="J76" cm="1">
        <f t="array" ref="J76">DeltaC(B76,6,G76,0,0,0.2)</f>
        <v>0.83478396300844226</v>
      </c>
      <c r="K76" cm="1">
        <f t="array" ref="K76">GammaCP(B76,6,G76,0,0,0.2)</f>
        <v>0.17811800557329563</v>
      </c>
      <c r="M76">
        <f t="shared" si="8"/>
        <v>1.24367713325153</v>
      </c>
      <c r="V76" cm="1">
        <f t="array" ref="V76">BSCall(B76,6.5,0,0.2,G76)</f>
        <v>0.89889057814358075</v>
      </c>
      <c r="W76" cm="1">
        <f t="array" ref="W76">DeltaC(B76,6.5,G76,0,0,0.2)</f>
        <v>0.71380814425469774</v>
      </c>
      <c r="X76" cm="1">
        <f t="array" ref="X76">GammaCP(B76,6.5,G76,0,0,0.2)</f>
        <v>0.24388407236495901</v>
      </c>
      <c r="Z76">
        <f t="shared" si="6"/>
        <v>0.73033881977643822</v>
      </c>
      <c r="AA76">
        <f t="shared" si="7"/>
        <v>0.31346216538665672</v>
      </c>
      <c r="AC76">
        <f t="shared" si="9"/>
        <v>1.2563131224865178</v>
      </c>
    </row>
    <row r="77" spans="1:29" x14ac:dyDescent="0.3">
      <c r="A77" s="2">
        <v>43116</v>
      </c>
      <c r="B77">
        <v>7.12</v>
      </c>
      <c r="C77" s="5">
        <v>1.1706300000000001</v>
      </c>
      <c r="D77" s="5">
        <v>0.73243999999999998</v>
      </c>
      <c r="E77" s="7"/>
      <c r="G77">
        <f t="shared" si="5"/>
        <v>0.95616438356164379</v>
      </c>
      <c r="I77" s="8" cm="1">
        <f t="array" ref="I77">BSCall(B77,6,0,0.2,G77)</f>
        <v>1.2539408535175038</v>
      </c>
      <c r="J77" cm="1">
        <f t="array" ref="J77">DeltaC(B77,6,G77,0,0,0.2)</f>
        <v>0.8347037096273765</v>
      </c>
      <c r="K77" cm="1">
        <f t="array" ref="K77">GammaCP(B77,6,G77,0,0,0.2)</f>
        <v>0.17847919491126685</v>
      </c>
      <c r="M77">
        <f t="shared" si="8"/>
        <v>1.2420075653255132</v>
      </c>
      <c r="V77" cm="1">
        <f t="array" ref="V77">BSCall(B77,6.5,0,0.2,G77)</f>
        <v>0.89678487154836795</v>
      </c>
      <c r="W77" cm="1">
        <f t="array" ref="W77">DeltaC(B77,6.5,G77,0,0,0.2)</f>
        <v>0.71349915694501964</v>
      </c>
      <c r="X77" cm="1">
        <f t="array" ref="X77">GammaCP(B77,6.5,G77,0,0,0.2)</f>
        <v>0.24442700506072101</v>
      </c>
      <c r="Z77">
        <f t="shared" si="6"/>
        <v>0.7301942552007652</v>
      </c>
      <c r="AA77">
        <f t="shared" si="7"/>
        <v>0.31371072413553402</v>
      </c>
      <c r="AC77">
        <f t="shared" si="9"/>
        <v>1.2541483188862015</v>
      </c>
    </row>
    <row r="78" spans="1:29" x14ac:dyDescent="0.3">
      <c r="A78" s="2">
        <v>43117</v>
      </c>
      <c r="B78">
        <v>7.19</v>
      </c>
      <c r="C78" s="5">
        <v>1.2334499999999999</v>
      </c>
      <c r="D78" s="5">
        <v>0.78742000000000001</v>
      </c>
      <c r="E78" s="7"/>
      <c r="G78">
        <f t="shared" si="5"/>
        <v>0.95342465753424654</v>
      </c>
      <c r="I78" s="8" cm="1">
        <f t="array" ref="I78">BSCall(B78,6,0,0.2,G78)</f>
        <v>1.3123225599072912</v>
      </c>
      <c r="J78" cm="1">
        <f t="array" ref="J78">DeltaC(B78,6,G78,0,0,0.2)</f>
        <v>0.84711425738259372</v>
      </c>
      <c r="K78" cm="1">
        <f t="array" ref="K78">GammaCP(B78,6,G78,0,0,0.2)</f>
        <v>0.16817155346473037</v>
      </c>
      <c r="M78">
        <f t="shared" si="8"/>
        <v>1.3004368249994298</v>
      </c>
      <c r="V78" cm="1">
        <f t="array" ref="V78">BSCall(B78,6.5,0,0.2,G78)</f>
        <v>0.94665491071036456</v>
      </c>
      <c r="W78" cm="1">
        <f t="array" ref="W78">DeltaC(B78,6.5,G78,0,0,0.2)</f>
        <v>0.73047914211997766</v>
      </c>
      <c r="X78" cm="1">
        <f t="array" ref="X78">GammaCP(B78,6.5,G78,0,0,0.2)</f>
        <v>0.23527418118758167</v>
      </c>
      <c r="Z78">
        <f t="shared" si="6"/>
        <v>0.71478966631977747</v>
      </c>
      <c r="AA78">
        <f t="shared" si="7"/>
        <v>0.32497531513309763</v>
      </c>
      <c r="AC78">
        <f t="shared" si="9"/>
        <v>1.3125228856784161</v>
      </c>
    </row>
    <row r="79" spans="1:29" x14ac:dyDescent="0.3">
      <c r="A79" s="2">
        <v>43118</v>
      </c>
      <c r="B79">
        <v>7.2880000000000003</v>
      </c>
      <c r="C79" s="5">
        <v>1.32426</v>
      </c>
      <c r="D79" s="5">
        <v>0.87192999999999998</v>
      </c>
      <c r="E79" s="7"/>
      <c r="G79">
        <f t="shared" si="5"/>
        <v>0.9506849315068493</v>
      </c>
      <c r="I79" s="8" cm="1">
        <f t="array" ref="I79">BSCall(B79,6,0,0.2,G79)</f>
        <v>1.3956759516507482</v>
      </c>
      <c r="J79" cm="1">
        <f t="array" ref="J79">DeltaC(B79,6,G79,0,0,0.2)</f>
        <v>0.86318737247336419</v>
      </c>
      <c r="K79" cm="1">
        <f t="array" ref="K79">GammaCP(B79,6,G79,0,0,0.2)</f>
        <v>0.15417228344854514</v>
      </c>
      <c r="M79">
        <f t="shared" si="8"/>
        <v>1.3834540222229239</v>
      </c>
      <c r="V79" cm="1">
        <f t="array" ref="V79">BSCall(B79,6.5,0,0.2,G79)</f>
        <v>1.0187041724931181</v>
      </c>
      <c r="W79" cm="1">
        <f t="array" ref="W79">DeltaC(B79,6.5,G79,0,0,0.2)</f>
        <v>0.75310384931606733</v>
      </c>
      <c r="X79" cm="1">
        <f t="array" ref="X79">GammaCP(B79,6.5,G79,0,0,0.2)</f>
        <v>0.22211286293677879</v>
      </c>
      <c r="Z79">
        <f t="shared" si="6"/>
        <v>0.69411686207668233</v>
      </c>
      <c r="AA79">
        <f t="shared" si="7"/>
        <v>0.34044529176822491</v>
      </c>
      <c r="AC79">
        <f t="shared" si="9"/>
        <v>1.3958705343497404</v>
      </c>
    </row>
    <row r="80" spans="1:29" x14ac:dyDescent="0.3">
      <c r="A80" s="2">
        <v>43119</v>
      </c>
      <c r="B80">
        <v>7.234</v>
      </c>
      <c r="C80" s="5">
        <v>1.27637</v>
      </c>
      <c r="D80" s="5">
        <v>0.83589999999999998</v>
      </c>
      <c r="E80" s="7"/>
      <c r="G80">
        <f t="shared" si="5"/>
        <v>0.94794520547945205</v>
      </c>
      <c r="I80" s="8" cm="1">
        <f t="array" ref="I80">BSCall(B80,6,0,0.2,G80)</f>
        <v>1.3488282527119573</v>
      </c>
      <c r="J80" cm="1">
        <f t="array" ref="J80">DeltaC(B80,6,G80,0,0,0.2)</f>
        <v>0.85494016083885194</v>
      </c>
      <c r="K80" cm="1">
        <f t="array" ref="K80">GammaCP(B80,6,G80,0,0,0.2)</f>
        <v>0.16184820065435807</v>
      </c>
      <c r="M80">
        <f t="shared" si="8"/>
        <v>1.336841904109362</v>
      </c>
      <c r="V80" cm="1">
        <f t="array" ref="V80">BSCall(B80,6.5,0,0.2,G80)</f>
        <v>0.97770553661886961</v>
      </c>
      <c r="W80" cm="1">
        <f t="array" ref="W80">DeltaC(B80,6.5,G80,0,0,0.2)</f>
        <v>0.74112056638172108</v>
      </c>
      <c r="X80" cm="1">
        <f t="array" ref="X80">GammaCP(B80,6.5,G80,0,0,0.2)</f>
        <v>0.22975514863014637</v>
      </c>
      <c r="Z80">
        <f t="shared" si="6"/>
        <v>0.70443775305726408</v>
      </c>
      <c r="AA80">
        <f t="shared" si="7"/>
        <v>0.33286685431238539</v>
      </c>
      <c r="AC80">
        <f t="shared" si="9"/>
        <v>1.3490286441117982</v>
      </c>
    </row>
    <row r="81" spans="1:29" x14ac:dyDescent="0.3">
      <c r="A81" s="2">
        <v>43122</v>
      </c>
      <c r="B81">
        <v>7.39</v>
      </c>
      <c r="C81" s="5">
        <v>1.42073</v>
      </c>
      <c r="D81" s="5">
        <v>0.96753999999999996</v>
      </c>
      <c r="E81" s="7"/>
      <c r="G81">
        <f t="shared" si="5"/>
        <v>0.9397260273972603</v>
      </c>
      <c r="I81" s="8" cm="1">
        <f t="array" ref="I81">BSCall(B81,6,0,0.2,G81)</f>
        <v>1.4828202431248263</v>
      </c>
      <c r="J81" cm="1">
        <f t="array" ref="J81">DeltaC(B81,6,G81,0,0,0.2)</f>
        <v>0.87933589297963577</v>
      </c>
      <c r="K81" cm="1">
        <f t="array" ref="K81">GammaCP(B81,6,G81,0,0,0.2)</f>
        <v>0.14016231170534235</v>
      </c>
      <c r="M81">
        <f t="shared" si="8"/>
        <v>1.4702125692002226</v>
      </c>
      <c r="V81" cm="1">
        <f t="array" ref="V81">BSCall(B81,6.5,0,0.2,G81)</f>
        <v>1.0941569272115226</v>
      </c>
      <c r="W81" cm="1">
        <f t="array" ref="W81">DeltaC(B81,6.5,G81,0,0,0.2)</f>
        <v>0.77602121590793405</v>
      </c>
      <c r="X81" cm="1">
        <f t="array" ref="X81">GammaCP(B81,6.5,G81,0,0,0.2)</f>
        <v>0.20878459854740455</v>
      </c>
      <c r="Z81">
        <f t="shared" si="6"/>
        <v>0.67132495730291375</v>
      </c>
      <c r="AA81">
        <f t="shared" si="7"/>
        <v>0.3583734833440867</v>
      </c>
      <c r="AC81">
        <f t="shared" si="9"/>
        <v>1.4829886293140124</v>
      </c>
    </row>
    <row r="82" spans="1:29" x14ac:dyDescent="0.3">
      <c r="A82" s="2">
        <v>43123</v>
      </c>
      <c r="B82">
        <v>7.4260000000000002</v>
      </c>
      <c r="C82" s="5">
        <v>1.4569099999999999</v>
      </c>
      <c r="D82" s="5">
        <v>1.0084900000000001</v>
      </c>
      <c r="E82" s="7"/>
      <c r="G82">
        <f t="shared" si="5"/>
        <v>0.93698630136986305</v>
      </c>
      <c r="I82" s="8" cm="1">
        <f t="array" ref="I82">BSCall(B82,6,0,0.2,G82)</f>
        <v>1.5141570425547677</v>
      </c>
      <c r="J82" cm="1">
        <f t="array" ref="J82">DeltaC(B82,6,G82,0,0,0.2)</f>
        <v>0.88458118022970411</v>
      </c>
      <c r="K82" cm="1">
        <f t="array" ref="K82">GammaCP(B82,6,G82,0,0,0.2)</f>
        <v>0.13536357320229375</v>
      </c>
      <c r="M82">
        <f t="shared" si="8"/>
        <v>1.5018686613474899</v>
      </c>
      <c r="V82" cm="1">
        <f t="array" ref="V82">BSCall(B82,6.5,0,0.2,G82)</f>
        <v>1.1216118653424383</v>
      </c>
      <c r="W82" cm="1">
        <f t="array" ref="W82">DeltaC(B82,6.5,G82,0,0,0.2)</f>
        <v>0.78370046648130975</v>
      </c>
      <c r="X82" cm="1">
        <f t="array" ref="X82">GammaCP(B82,6.5,G82,0,0,0.2)</f>
        <v>0.20395367111826243</v>
      </c>
      <c r="Z82">
        <f t="shared" si="6"/>
        <v>0.66369765476691645</v>
      </c>
      <c r="AA82">
        <f t="shared" si="7"/>
        <v>0.36444101858632039</v>
      </c>
      <c r="AC82">
        <f t="shared" si="9"/>
        <v>1.5143212598828908</v>
      </c>
    </row>
    <row r="83" spans="1:29" x14ac:dyDescent="0.3">
      <c r="A83" s="2">
        <v>43124</v>
      </c>
      <c r="B83">
        <v>7.35</v>
      </c>
      <c r="C83" s="5">
        <v>1.3875500000000001</v>
      </c>
      <c r="D83" s="5">
        <v>0.95320000000000005</v>
      </c>
      <c r="E83" s="7"/>
      <c r="G83">
        <f t="shared" si="5"/>
        <v>0.9342465753424658</v>
      </c>
      <c r="I83" s="8" cm="1">
        <f t="array" ref="I83">BSCall(B83,6,0,0.2,G83)</f>
        <v>1.4468986852043377</v>
      </c>
      <c r="J83" cm="1">
        <f t="array" ref="J83">DeltaC(B83,6,G83,0,0,0.2)</f>
        <v>0.8741978977523267</v>
      </c>
      <c r="K83" cm="1">
        <f t="array" ref="K83">GammaCP(B83,6,G83,0,0,0.2)</f>
        <v>0.14552889756408768</v>
      </c>
      <c r="M83">
        <f t="shared" si="8"/>
        <v>1.4346404916500319</v>
      </c>
      <c r="V83" cm="1">
        <f t="array" ref="V83">BSCall(B83,6.5,0,0.2,G83)</f>
        <v>1.0620144888716041</v>
      </c>
      <c r="W83" cm="1">
        <f t="array" ref="W83">DeltaC(B83,6.5,G83,0,0,0.2)</f>
        <v>0.76803891788682299</v>
      </c>
      <c r="X83" cm="1">
        <f t="array" ref="X83">GammaCP(B83,6.5,G83,0,0,0.2)</f>
        <v>0.21472414310214191</v>
      </c>
      <c r="Z83">
        <f t="shared" si="6"/>
        <v>0.67774818174433782</v>
      </c>
      <c r="AA83">
        <f t="shared" si="7"/>
        <v>0.35366091764564367</v>
      </c>
      <c r="AC83">
        <f t="shared" si="9"/>
        <v>1.4470691034763767</v>
      </c>
    </row>
    <row r="84" spans="1:29" x14ac:dyDescent="0.3">
      <c r="A84" s="2">
        <v>43125</v>
      </c>
      <c r="B84">
        <v>7.4039999999999999</v>
      </c>
      <c r="C84" s="5">
        <v>1.43801</v>
      </c>
      <c r="D84" s="5">
        <v>1.00021</v>
      </c>
      <c r="E84" s="7"/>
      <c r="G84">
        <f t="shared" si="5"/>
        <v>0.93150684931506844</v>
      </c>
      <c r="I84" s="8" cm="1">
        <f t="array" ref="I84">BSCall(B84,6,0,0.2,G84)</f>
        <v>1.4938988150414634</v>
      </c>
      <c r="J84" cm="1">
        <f t="array" ref="J84">DeltaC(B84,6,G84,0,0,0.2)</f>
        <v>0.8821463166079595</v>
      </c>
      <c r="K84" cm="1">
        <f t="array" ref="K84">GammaCP(B84,6,G84,0,0,0.2)</f>
        <v>0.13819525120206103</v>
      </c>
      <c r="M84">
        <f t="shared" si="8"/>
        <v>1.4818471781286577</v>
      </c>
      <c r="V84" cm="1">
        <f t="array" ref="V84">BSCall(B84,6.5,0,0.2,G84)</f>
        <v>1.1031754120687181</v>
      </c>
      <c r="W84" cm="1">
        <f t="array" ref="W84">DeltaC(B84,6.5,G84,0,0,0.2)</f>
        <v>0.77968159643428236</v>
      </c>
      <c r="X84" cm="1">
        <f t="array" ref="X84">GammaCP(B84,6.5,G84,0,0,0.2)</f>
        <v>0.20734797189520585</v>
      </c>
      <c r="Z84">
        <f t="shared" si="6"/>
        <v>0.6664895245365855</v>
      </c>
      <c r="AA84">
        <f t="shared" si="7"/>
        <v>0.36249670011054869</v>
      </c>
      <c r="AC84">
        <f t="shared" si="9"/>
        <v>1.4940635338850039</v>
      </c>
    </row>
    <row r="85" spans="1:29" x14ac:dyDescent="0.3">
      <c r="A85" s="2">
        <v>43126</v>
      </c>
      <c r="B85">
        <v>7.3860000000000001</v>
      </c>
      <c r="C85" s="5">
        <v>1.42191</v>
      </c>
      <c r="D85" s="5">
        <v>0.98934</v>
      </c>
      <c r="E85" s="7"/>
      <c r="G85">
        <f t="shared" si="5"/>
        <v>0.92876712328767119</v>
      </c>
      <c r="I85" s="8" cm="1">
        <f t="array" ref="I85">BSCall(B85,6,0,0.2,G85)</f>
        <v>1.4776224399300384</v>
      </c>
      <c r="J85" cm="1">
        <f t="array" ref="J85">DeltaC(B85,6,G85,0,0,0.2)</f>
        <v>0.87992651301334268</v>
      </c>
      <c r="K85" cm="1">
        <f t="array" ref="K85">GammaCP(B85,6,G85,0,0,0.2)</f>
        <v>0.14057644978419639</v>
      </c>
      <c r="M85">
        <f t="shared" si="8"/>
        <v>1.4659685444297146</v>
      </c>
      <c r="V85" cm="1">
        <f t="array" ref="V85">BSCall(B85,6.5,0,0.2,G85)</f>
        <v>1.0885472689239837</v>
      </c>
      <c r="W85" cm="1">
        <f t="array" ref="W85">DeltaC(B85,6.5,G85,0,0,0.2)</f>
        <v>0.77617601570899508</v>
      </c>
      <c r="X85" cm="1">
        <f t="array" ref="X85">GammaCP(B85,6.5,G85,0,0,0.2)</f>
        <v>0.21004394892255704</v>
      </c>
      <c r="Z85">
        <f t="shared" si="6"/>
        <v>0.66927160008797382</v>
      </c>
      <c r="AA85">
        <f t="shared" si="7"/>
        <v>0.36045394902987526</v>
      </c>
      <c r="AC85">
        <f t="shared" si="9"/>
        <v>1.4777890891136269</v>
      </c>
    </row>
    <row r="86" spans="1:29" x14ac:dyDescent="0.3">
      <c r="A86" s="2">
        <v>43129</v>
      </c>
      <c r="B86">
        <v>7.3639999999999999</v>
      </c>
      <c r="C86" s="5">
        <v>1.401</v>
      </c>
      <c r="D86" s="5">
        <v>0.97187999999999997</v>
      </c>
      <c r="E86" s="7"/>
      <c r="G86">
        <f t="shared" si="5"/>
        <v>0.92054794520547945</v>
      </c>
      <c r="I86" s="8" cm="1">
        <f t="array" ref="I86">BSCall(B86,6,0,0.2,G86)</f>
        <v>1.4570188819730028</v>
      </c>
      <c r="J86" cm="1">
        <f t="array" ref="J86">DeltaC(B86,6,G86,0,0,0.2)</f>
        <v>0.87767639801945807</v>
      </c>
      <c r="K86" cm="1">
        <f t="array" ref="K86">GammaCP(B86,6,G86,0,0,0.2)</f>
        <v>0.14348596167126412</v>
      </c>
      <c r="M86">
        <f t="shared" si="8"/>
        <v>1.4466101611434208</v>
      </c>
      <c r="V86" cm="1">
        <f t="array" ref="V86">BSCall(B86,6.5,0,0.2,G86)</f>
        <v>1.0696200364384394</v>
      </c>
      <c r="W86" cm="1">
        <f t="array" ref="W86">DeltaC(B86,6.5,G86,0,0,0.2)</f>
        <v>0.77226359023338165</v>
      </c>
      <c r="X86" cm="1">
        <f t="array" ref="X86">GammaCP(B86,6.5,G86,0,0,0.2)</f>
        <v>0.21369421637805341</v>
      </c>
      <c r="Z86">
        <f t="shared" si="6"/>
        <v>0.67145458638627087</v>
      </c>
      <c r="AA86">
        <f t="shared" si="7"/>
        <v>0.35913646845812619</v>
      </c>
      <c r="AC86">
        <f t="shared" si="9"/>
        <v>1.4571916430641323</v>
      </c>
    </row>
    <row r="87" spans="1:29" x14ac:dyDescent="0.3">
      <c r="A87" s="2">
        <v>43130</v>
      </c>
      <c r="B87">
        <v>7.3079999999999998</v>
      </c>
      <c r="C87" s="5">
        <v>1.3488500000000001</v>
      </c>
      <c r="D87" s="5">
        <v>0.92581999999999998</v>
      </c>
      <c r="E87" s="7"/>
      <c r="G87">
        <f t="shared" si="5"/>
        <v>0.9178082191780822</v>
      </c>
      <c r="I87" s="8" cm="1">
        <f t="array" ref="I87">BSCall(B87,6,0,0.2,G87)</f>
        <v>1.4076552573286776</v>
      </c>
      <c r="J87" cm="1">
        <f t="array" ref="J87">DeltaC(B87,6,G87,0,0,0.2)</f>
        <v>0.86971780217186911</v>
      </c>
      <c r="K87" cm="1">
        <f t="array" ref="K87">GammaCP(B87,6,G87,0,0,0.2)</f>
        <v>0.1513039178431691</v>
      </c>
      <c r="M87">
        <f t="shared" si="8"/>
        <v>1.397460282854331</v>
      </c>
      <c r="V87" cm="1">
        <f t="array" ref="V87">BSCall(B87,6.5,0,0.2,G87)</f>
        <v>1.0260635719415818</v>
      </c>
      <c r="W87" cm="1">
        <f t="array" ref="W87">DeltaC(B87,6.5,G87,0,0,0.2)</f>
        <v>0.76031269315056427</v>
      </c>
      <c r="X87" cm="1">
        <f t="array" ref="X87">GammaCP(B87,6.5,G87,0,0,0.2)</f>
        <v>0.22185534693407391</v>
      </c>
      <c r="Z87">
        <f t="shared" si="6"/>
        <v>0.68199355992141253</v>
      </c>
      <c r="AA87">
        <f t="shared" si="7"/>
        <v>0.35118944191667922</v>
      </c>
      <c r="AC87">
        <f t="shared" si="9"/>
        <v>1.4078338129772914</v>
      </c>
    </row>
    <row r="88" spans="1:29" x14ac:dyDescent="0.3">
      <c r="A88" s="2">
        <v>43131</v>
      </c>
      <c r="B88">
        <v>7.3339999999999996</v>
      </c>
      <c r="C88" s="5">
        <v>1.37198</v>
      </c>
      <c r="D88" s="5">
        <v>0.94367999999999996</v>
      </c>
      <c r="E88" s="7"/>
      <c r="G88">
        <f t="shared" si="5"/>
        <v>0.91506849315068495</v>
      </c>
      <c r="I88" s="8" cm="1">
        <f t="array" ref="I88">BSCall(B88,6,0,0.2,G88)</f>
        <v>1.4298835681316664</v>
      </c>
      <c r="J88" cm="1">
        <f t="array" ref="J88">DeltaC(B88,6,G88,0,0,0.2)</f>
        <v>0.87389907365654651</v>
      </c>
      <c r="K88" cm="1">
        <f t="array" ref="K88">GammaCP(B88,6,G88,0,0,0.2)</f>
        <v>0.14761079963502549</v>
      </c>
      <c r="M88">
        <f t="shared" si="8"/>
        <v>1.4200729457107995</v>
      </c>
      <c r="V88" cm="1">
        <f t="array" ref="V88">BSCall(B88,6.5,0,0.2,G88)</f>
        <v>1.0452630263799465</v>
      </c>
      <c r="W88" cm="1">
        <f t="array" ref="W88">DeltaC(B88,6.5,G88,0,0,0.2)</f>
        <v>0.766277769686875</v>
      </c>
      <c r="X88" cm="1">
        <f t="array" ref="X88">GammaCP(B88,6.5,G88,0,0,0.2)</f>
        <v>0.21835157313371753</v>
      </c>
      <c r="Z88">
        <f t="shared" si="6"/>
        <v>0.67602352259962561</v>
      </c>
      <c r="AA88">
        <f t="shared" si="7"/>
        <v>0.35587727650304068</v>
      </c>
      <c r="AC88">
        <f t="shared" si="9"/>
        <v>1.4300586427480941</v>
      </c>
    </row>
    <row r="89" spans="1:29" x14ac:dyDescent="0.3">
      <c r="A89" s="2">
        <v>43132</v>
      </c>
      <c r="B89">
        <v>7.3780000000000001</v>
      </c>
      <c r="C89" s="5">
        <v>1.41235</v>
      </c>
      <c r="D89" s="5">
        <v>0.97890999999999995</v>
      </c>
      <c r="E89" s="7"/>
      <c r="G89">
        <f t="shared" si="5"/>
        <v>0.9123287671232877</v>
      </c>
      <c r="I89" s="8" cm="1">
        <f t="array" ref="I89">BSCall(B89,6,0,0.2,G89)</f>
        <v>1.468054020356516</v>
      </c>
      <c r="J89" cm="1">
        <f t="array" ref="J89">DeltaC(B89,6,G89,0,0,0.2)</f>
        <v>0.8805539401967426</v>
      </c>
      <c r="K89" cm="1">
        <f t="array" ref="K89">GammaCP(B89,6,G89,0,0,0.2)</f>
        <v>0.14146744939854858</v>
      </c>
      <c r="M89">
        <f t="shared" si="8"/>
        <v>1.458524504951688</v>
      </c>
      <c r="V89" cm="1">
        <f t="array" ref="V89">BSCall(B89,6.5,0,0.2,G89)</f>
        <v>1.0785557655295861</v>
      </c>
      <c r="W89" cm="1">
        <f t="array" ref="W89">DeltaC(B89,6.5,G89,0,0,0.2)</f>
        <v>0.77600146911340295</v>
      </c>
      <c r="X89" cm="1">
        <f t="array" ref="X89">GammaCP(B89,6.5,G89,0,0,0.2)</f>
        <v>0.21225158526694055</v>
      </c>
      <c r="Z89">
        <f t="shared" si="6"/>
        <v>0.66650832888070299</v>
      </c>
      <c r="AA89">
        <f t="shared" si="7"/>
        <v>0.36334249780899797</v>
      </c>
      <c r="AC89">
        <f t="shared" si="9"/>
        <v>1.4682239177111578</v>
      </c>
    </row>
    <row r="90" spans="1:29" x14ac:dyDescent="0.3">
      <c r="A90" s="2">
        <v>43133</v>
      </c>
      <c r="B90">
        <v>7.2880000000000003</v>
      </c>
      <c r="C90" s="5">
        <v>1.3292900000000001</v>
      </c>
      <c r="D90" s="5">
        <v>0.90686999999999995</v>
      </c>
      <c r="E90" s="7"/>
      <c r="G90">
        <f t="shared" si="5"/>
        <v>0.90958904109589045</v>
      </c>
      <c r="I90" s="8" cm="1">
        <f t="array" ref="I90">BSCall(B90,6,0,0.2,G90)</f>
        <v>1.3889453803602647</v>
      </c>
      <c r="J90" cm="1">
        <f t="array" ref="J90">DeltaC(B90,6,G90,0,0,0.2)</f>
        <v>0.86755352336659042</v>
      </c>
      <c r="K90" cm="1">
        <f t="array" ref="K90">GammaCP(B90,6,G90,0,0,0.2)</f>
        <v>0.15414671507197181</v>
      </c>
      <c r="M90">
        <f t="shared" si="8"/>
        <v>1.3792746503339812</v>
      </c>
      <c r="V90" cm="1">
        <f t="array" ref="V90">BSCall(B90,6.5,0,0.2,G90)</f>
        <v>1.0089370727507019</v>
      </c>
      <c r="W90" cm="1">
        <f t="array" ref="W90">DeltaC(B90,6.5,G90,0,0,0.2)</f>
        <v>0.75655638253239776</v>
      </c>
      <c r="X90" cm="1">
        <f t="array" ref="X90">GammaCP(B90,6.5,G90,0,0,0.2)</f>
        <v>0.2253619442954041</v>
      </c>
      <c r="Z90">
        <f t="shared" si="6"/>
        <v>0.68399620687473539</v>
      </c>
      <c r="AA90">
        <f t="shared" si="7"/>
        <v>0.35007182742755905</v>
      </c>
      <c r="AC90">
        <f t="shared" si="9"/>
        <v>1.3891216543254348</v>
      </c>
    </row>
    <row r="91" spans="1:29" x14ac:dyDescent="0.3">
      <c r="A91" s="2">
        <v>43136</v>
      </c>
      <c r="B91">
        <v>7.1440000000000001</v>
      </c>
      <c r="C91" s="5">
        <v>1.1969000000000001</v>
      </c>
      <c r="D91" s="5">
        <v>0.78818999999999995</v>
      </c>
      <c r="E91" s="7"/>
      <c r="G91">
        <f t="shared" si="5"/>
        <v>0.90136986301369859</v>
      </c>
      <c r="I91" s="8" cm="1">
        <f t="array" ref="I91">BSCall(B91,6,0,0.2,G91)</f>
        <v>1.2642142463612061</v>
      </c>
      <c r="J91" cm="1">
        <f t="array" ref="J91">DeltaC(B91,6,G91,0,0,0.2)</f>
        <v>0.8447104289764571</v>
      </c>
      <c r="K91" cm="1">
        <f t="array" ref="K91">GammaCP(B91,6,G91,0,0,0.2)</f>
        <v>0.17587894467826687</v>
      </c>
      <c r="M91">
        <f t="shared" si="8"/>
        <v>1.254346942969192</v>
      </c>
      <c r="V91" cm="1">
        <f t="array" ref="V91">BSCall(B91,6.5,0,0.2,G91)</f>
        <v>0.90033421347025833</v>
      </c>
      <c r="W91" cm="1">
        <f t="array" ref="W91">DeltaC(B91,6.5,G91,0,0,0.2)</f>
        <v>0.72323075638754664</v>
      </c>
      <c r="X91" cm="1">
        <f t="array" ref="X91">GammaCP(B91,6.5,G91,0,0,0.2)</f>
        <v>0.24675441031371786</v>
      </c>
      <c r="Z91">
        <f t="shared" si="6"/>
        <v>0.71276920422479351</v>
      </c>
      <c r="AA91">
        <f t="shared" si="7"/>
        <v>0.32921381827521001</v>
      </c>
      <c r="AC91">
        <f t="shared" si="9"/>
        <v>1.2644273673722921</v>
      </c>
    </row>
    <row r="92" spans="1:29" x14ac:dyDescent="0.3">
      <c r="A92" s="2">
        <v>43137</v>
      </c>
      <c r="B92">
        <v>6.8239999999999998</v>
      </c>
      <c r="C92" s="5">
        <v>0.91622000000000003</v>
      </c>
      <c r="D92" s="5">
        <v>0.54452999999999996</v>
      </c>
      <c r="E92" s="7"/>
      <c r="G92">
        <f t="shared" si="5"/>
        <v>0.89863013698630134</v>
      </c>
      <c r="I92" s="8" cm="1">
        <f t="array" ref="I92">BSCall(B92,6,0,0.2,G92)</f>
        <v>1.0032061366348186</v>
      </c>
      <c r="J92" cm="1">
        <f t="array" ref="J92">DeltaC(B92,6,G92,0,0,0.2)</f>
        <v>0.78040135487729745</v>
      </c>
      <c r="K92" cm="1">
        <f t="array" ref="K92">GammaCP(B92,6,G92,0,0,0.2)</f>
        <v>0.22862002923654792</v>
      </c>
      <c r="M92">
        <f t="shared" si="8"/>
        <v>0.98403960569672555</v>
      </c>
      <c r="V92" cm="1">
        <f t="array" ref="V92">BSCall(B92,6.5,0,0.2,G92)</f>
        <v>0.68155233626926393</v>
      </c>
      <c r="W92" cm="1">
        <f t="array" ref="W92">DeltaC(B92,6.5,G92,0,0,0.2)</f>
        <v>0.63734306752366454</v>
      </c>
      <c r="X92" cm="1">
        <f t="array" ref="X92">GammaCP(B92,6.5,G92,0,0,0.2)</f>
        <v>0.28989585113380695</v>
      </c>
      <c r="Z92">
        <f t="shared" si="6"/>
        <v>0.78862815160132804</v>
      </c>
      <c r="AA92">
        <f t="shared" si="7"/>
        <v>0.27777466960018948</v>
      </c>
      <c r="AC92">
        <f t="shared" si="9"/>
        <v>1.0031379610128655</v>
      </c>
    </row>
    <row r="93" spans="1:29" x14ac:dyDescent="0.3">
      <c r="A93" s="2">
        <v>43138</v>
      </c>
      <c r="B93">
        <v>7.1180000000000003</v>
      </c>
      <c r="C93" s="5">
        <v>1.1708700000000001</v>
      </c>
      <c r="D93" s="5">
        <v>0.74938000000000005</v>
      </c>
      <c r="E93" s="7"/>
      <c r="G93">
        <f t="shared" si="5"/>
        <v>0.89589041095890409</v>
      </c>
      <c r="I93" s="8" cm="1">
        <f t="array" ref="I93">BSCall(B93,6,0,0.2,G93)</f>
        <v>1.2413121709116899</v>
      </c>
      <c r="J93" cm="1">
        <f t="array" ref="J93">DeltaC(B93,6,G93,0,0,0.2)</f>
        <v>0.84068191587685193</v>
      </c>
      <c r="K93" cm="1">
        <f t="array" ref="K93">GammaCP(B93,6,G93,0,0,0.2)</f>
        <v>0.18006686935366775</v>
      </c>
      <c r="M93">
        <f t="shared" si="8"/>
        <v>1.2134776040306514</v>
      </c>
      <c r="V93" cm="1">
        <f t="array" ref="V93">BSCall(B93,6.5,0,0.2,G93)</f>
        <v>0.88022181287288248</v>
      </c>
      <c r="W93" cm="1">
        <f t="array" ref="W93">DeltaC(B93,6.5,G93,0,0,0.2)</f>
        <v>0.71716355564931056</v>
      </c>
      <c r="X93" cm="1">
        <f t="array" ref="X93">GammaCP(B93,6.5,G93,0,0,0.2)</f>
        <v>0.25103896867127051</v>
      </c>
      <c r="Z93">
        <f t="shared" si="6"/>
        <v>0.71728652450552799</v>
      </c>
      <c r="AA93">
        <f t="shared" si="7"/>
        <v>0.32627016154313115</v>
      </c>
      <c r="AC93">
        <f t="shared" si="9"/>
        <v>1.2414800559888364</v>
      </c>
    </row>
    <row r="94" spans="1:29" x14ac:dyDescent="0.3">
      <c r="A94" s="2">
        <v>43139</v>
      </c>
      <c r="B94">
        <v>7.0640000000000001</v>
      </c>
      <c r="C94" s="5">
        <v>1.1219300000000001</v>
      </c>
      <c r="D94" s="5">
        <v>0.70104999999999995</v>
      </c>
      <c r="E94" s="7"/>
      <c r="G94">
        <f t="shared" si="5"/>
        <v>0.89315068493150684</v>
      </c>
      <c r="I94" s="8" cm="1">
        <f t="array" ref="I94">BSCall(B94,6,0,0.2,G94)</f>
        <v>1.1956659617628107</v>
      </c>
      <c r="J94" cm="1">
        <f t="array" ref="J94">DeltaC(B94,6,G94,0,0,0.2)</f>
        <v>0.8310223277182065</v>
      </c>
      <c r="K94" cm="1">
        <f t="array" ref="K94">GammaCP(B94,6,G94,0,0,0.2)</f>
        <v>0.18879411239441055</v>
      </c>
      <c r="M94">
        <f t="shared" si="8"/>
        <v>1.1680807805733011</v>
      </c>
      <c r="V94" cm="1">
        <f t="array" ref="V94">BSCall(B94,6.5,0,0.2,G94)</f>
        <v>0.84115702663050307</v>
      </c>
      <c r="W94" cm="1">
        <f t="array" ref="W94">DeltaC(B94,6.5,G94,0,0,0.2)</f>
        <v>0.703583942324289</v>
      </c>
      <c r="X94" cm="1">
        <f t="array" ref="X94">GammaCP(B94,6.5,G94,0,0,0.2)</f>
        <v>0.25898538913347202</v>
      </c>
      <c r="Z94">
        <f t="shared" si="6"/>
        <v>0.72897592032542291</v>
      </c>
      <c r="AA94">
        <f t="shared" si="7"/>
        <v>0.31812657583616866</v>
      </c>
      <c r="AC94">
        <f t="shared" si="9"/>
        <v>1.1958408225111596</v>
      </c>
    </row>
    <row r="95" spans="1:29" x14ac:dyDescent="0.3">
      <c r="A95" s="2">
        <v>43140</v>
      </c>
      <c r="B95">
        <v>6.9619999999999997</v>
      </c>
      <c r="C95" s="5">
        <v>1.02888</v>
      </c>
      <c r="D95" s="5">
        <v>0.61433000000000004</v>
      </c>
      <c r="E95" s="7"/>
      <c r="G95">
        <f t="shared" si="5"/>
        <v>0.8904109589041096</v>
      </c>
      <c r="I95" s="8" cm="1">
        <f t="array" ref="I95">BSCall(B95,6,0,0.2,G95)</f>
        <v>1.1113664922720972</v>
      </c>
      <c r="J95" cm="1">
        <f t="array" ref="J95">DeltaC(B95,6,G95,0,0,0.2)</f>
        <v>0.81119997561532298</v>
      </c>
      <c r="K95" cm="1">
        <f t="array" ref="K95">GammaCP(B95,6,G95,0,0,0.2)</f>
        <v>0.20573183877466936</v>
      </c>
      <c r="M95">
        <f t="shared" si="8"/>
        <v>1.0833165031460439</v>
      </c>
      <c r="V95" cm="1">
        <f t="array" ref="V95">BSCall(B95,6.5,0,0.2,G95)</f>
        <v>0.77003773207589576</v>
      </c>
      <c r="W95" cm="1">
        <f t="array" ref="W95">DeltaC(B95,6.5,G95,0,0,0.2)</f>
        <v>0.67659537447963802</v>
      </c>
      <c r="X95" cm="1">
        <f t="array" ref="X95">GammaCP(B95,6.5,G95,0,0,0.2)</f>
        <v>0.27337668637986834</v>
      </c>
      <c r="Z95">
        <f t="shared" si="6"/>
        <v>0.75255809666518658</v>
      </c>
      <c r="AA95">
        <f t="shared" si="7"/>
        <v>0.30202264838445747</v>
      </c>
      <c r="AC95">
        <f t="shared" si="9"/>
        <v>1.1115476585750308</v>
      </c>
    </row>
    <row r="96" spans="1:29" x14ac:dyDescent="0.3">
      <c r="A96" s="2">
        <v>43143</v>
      </c>
      <c r="B96">
        <v>7.0940000000000003</v>
      </c>
      <c r="C96" s="5">
        <v>1.1429199999999999</v>
      </c>
      <c r="D96" s="5">
        <v>0.70304</v>
      </c>
      <c r="E96" s="7"/>
      <c r="G96">
        <f t="shared" si="5"/>
        <v>0.88219178082191785</v>
      </c>
      <c r="I96" s="8" cm="1">
        <f t="array" ref="I96">BSCall(B96,6,0,0.2,G96)</f>
        <v>1.2186504557609172</v>
      </c>
      <c r="J96" cm="1">
        <f t="array" ref="J96">DeltaC(B96,6,G96,0,0,0.2)</f>
        <v>0.83782043029410624</v>
      </c>
      <c r="K96" cm="1">
        <f t="array" ref="K96">GammaCP(B96,6,G96,0,0,0.2)</f>
        <v>0.18420221592613586</v>
      </c>
      <c r="M96">
        <f t="shared" si="8"/>
        <v>1.1903948999272669</v>
      </c>
      <c r="V96" cm="1">
        <f t="array" ref="V96">BSCall(B96,6.5,0,0.2,G96)</f>
        <v>0.85956362474978931</v>
      </c>
      <c r="W96" cm="1">
        <f t="array" ref="W96">DeltaC(B96,6.5,G96,0,0,0.2)</f>
        <v>0.71206951709821942</v>
      </c>
      <c r="X96" cm="1">
        <f t="array" ref="X96">GammaCP(B96,6.5,G96,0,0,0.2)</f>
        <v>0.2560035308095211</v>
      </c>
      <c r="Z96">
        <f t="shared" si="6"/>
        <v>0.71952998204228347</v>
      </c>
      <c r="AA96">
        <f t="shared" si="7"/>
        <v>0.32546506344356696</v>
      </c>
      <c r="AC96">
        <f t="shared" si="9"/>
        <v>1.2187880835546965</v>
      </c>
    </row>
    <row r="97" spans="1:29" x14ac:dyDescent="0.3">
      <c r="A97" s="2">
        <v>43144</v>
      </c>
      <c r="B97">
        <v>7.0640000000000001</v>
      </c>
      <c r="C97" s="5">
        <v>1.11527</v>
      </c>
      <c r="D97" s="5">
        <v>0.67781999999999998</v>
      </c>
      <c r="E97" s="7"/>
      <c r="G97">
        <f t="shared" si="5"/>
        <v>0.8794520547945206</v>
      </c>
      <c r="I97" s="8" cm="1">
        <f t="array" ref="I97">BSCall(B97,6,0,0.2,G97)</f>
        <v>1.1930823299294246</v>
      </c>
      <c r="J97" cm="1">
        <f t="array" ref="J97">DeltaC(B97,6,G97,0,0,0.2)</f>
        <v>0.83252370542498921</v>
      </c>
      <c r="K97" cm="1">
        <f t="array" ref="K97">GammaCP(B97,6,G97,0,0,0.2)</f>
        <v>0.18916957028983877</v>
      </c>
      <c r="M97">
        <f t="shared" si="8"/>
        <v>1.1652602870184434</v>
      </c>
      <c r="V97" cm="1">
        <f t="array" ref="V97">BSCall(B97,6.5,0,0.2,G97)</f>
        <v>0.83760523792191943</v>
      </c>
      <c r="W97" cm="1">
        <f t="array" ref="W97">DeltaC(B97,6.5,G97,0,0,0.2)</f>
        <v>0.70451269645939152</v>
      </c>
      <c r="X97" cm="1">
        <f t="array" ref="X97">GammaCP(B97,6.5,G97,0,0,0.2)</f>
        <v>0.26061882683354609</v>
      </c>
      <c r="Z97">
        <f t="shared" si="6"/>
        <v>0.72584767796019189</v>
      </c>
      <c r="AA97">
        <f t="shared" si="7"/>
        <v>0.3211548006064664</v>
      </c>
      <c r="AC97">
        <f t="shared" si="9"/>
        <v>1.1932244139714547</v>
      </c>
    </row>
    <row r="98" spans="1:29" x14ac:dyDescent="0.3">
      <c r="A98" s="2">
        <v>43145</v>
      </c>
      <c r="B98">
        <v>7.0679999999999996</v>
      </c>
      <c r="C98" s="5">
        <v>1.11724</v>
      </c>
      <c r="D98" s="5">
        <v>0.67708000000000002</v>
      </c>
      <c r="E98" s="7"/>
      <c r="G98">
        <f t="shared" si="5"/>
        <v>0.87671232876712324</v>
      </c>
      <c r="I98" s="8" cm="1">
        <f t="array" ref="I98">BSCall(B98,6,0,0.2,G98)</f>
        <v>1.1958978138343435</v>
      </c>
      <c r="J98" cm="1">
        <f t="array" ref="J98">DeltaC(B98,6,G98,0,0,0.2)</f>
        <v>0.83358314085680174</v>
      </c>
      <c r="K98" cm="1">
        <f t="array" ref="K98">GammaCP(B98,6,G98,0,0,0.2)</f>
        <v>0.18858424259105791</v>
      </c>
      <c r="M98">
        <f t="shared" si="8"/>
        <v>1.1685903818401431</v>
      </c>
      <c r="V98" cm="1">
        <f t="array" ref="V98">BSCall(B98,6.5,0,0.2,G98)</f>
        <v>0.83971308075964224</v>
      </c>
      <c r="W98" cm="1">
        <f t="array" ref="W98">DeltaC(B98,6.5,G98,0,0,0.2)</f>
        <v>0.70574401333957049</v>
      </c>
      <c r="X98" cm="1">
        <f t="array" ref="X98">GammaCP(B98,6.5,G98,0,0,0.2)</f>
        <v>0.26037638759738124</v>
      </c>
      <c r="Z98">
        <f t="shared" si="6"/>
        <v>0.7242755164214999</v>
      </c>
      <c r="AA98">
        <f t="shared" si="7"/>
        <v>0.32243003113390245</v>
      </c>
      <c r="AC98">
        <f t="shared" si="9"/>
        <v>1.1960390060031465</v>
      </c>
    </row>
    <row r="99" spans="1:29" x14ac:dyDescent="0.3">
      <c r="A99" s="2">
        <v>43146</v>
      </c>
      <c r="B99">
        <v>7.0259999999999998</v>
      </c>
      <c r="C99" s="5">
        <v>1.07826</v>
      </c>
      <c r="D99" s="5">
        <v>0.64170000000000005</v>
      </c>
      <c r="E99" s="7"/>
      <c r="G99">
        <f t="shared" si="5"/>
        <v>0.87397260273972599</v>
      </c>
      <c r="I99" s="8" cm="1">
        <f t="array" ref="I99">BSCall(B99,6,0,0.2,G99)</f>
        <v>1.1605266231348317</v>
      </c>
      <c r="J99" cm="1">
        <f t="array" ref="J99">DeltaC(B99,6,G99,0,0,0.2)</f>
        <v>0.82581850096999032</v>
      </c>
      <c r="K99" cm="1">
        <f t="array" ref="K99">GammaCP(B99,6,G99,0,0,0.2)</f>
        <v>0.19564164236224491</v>
      </c>
      <c r="M99">
        <f t="shared" si="8"/>
        <v>1.1335798899241576</v>
      </c>
      <c r="V99" cm="1">
        <f t="array" ref="V99">BSCall(B99,6.5,0,0.2,G99)</f>
        <v>0.80958232988523093</v>
      </c>
      <c r="W99" cm="1">
        <f t="array" ref="W99">DeltaC(B99,6.5,G99,0,0,0.2)</f>
        <v>0.69485922183455906</v>
      </c>
      <c r="X99" cm="1">
        <f t="array" ref="X99">GammaCP(B99,6.5,G99,0,0,0.2)</f>
        <v>0.26669552781176392</v>
      </c>
      <c r="Z99">
        <f t="shared" si="6"/>
        <v>0.73357676436303243</v>
      </c>
      <c r="AA99">
        <f t="shared" si="7"/>
        <v>0.31608592132877988</v>
      </c>
      <c r="AC99">
        <f t="shared" si="9"/>
        <v>1.160673979545791</v>
      </c>
    </row>
    <row r="100" spans="1:29" x14ac:dyDescent="0.3">
      <c r="A100" s="2">
        <v>43147</v>
      </c>
      <c r="B100">
        <v>7.0739999999999998</v>
      </c>
      <c r="C100" s="5">
        <v>1.1203000000000001</v>
      </c>
      <c r="D100" s="5">
        <v>0.67535000000000001</v>
      </c>
      <c r="E100" s="7"/>
      <c r="G100">
        <f t="shared" si="5"/>
        <v>0.87123287671232874</v>
      </c>
      <c r="I100" s="8" cm="1">
        <f t="array" ref="I100">BSCall(B100,6,0,0.2,G100)</f>
        <v>1.1998735409823302</v>
      </c>
      <c r="J100" cm="1">
        <f t="array" ref="J100">DeltaC(B100,6,G100,0,0,0.2)</f>
        <v>0.83532422093751979</v>
      </c>
      <c r="K100" cm="1">
        <f t="array" ref="K100">GammaCP(B100,6,G100,0,0,0.2)</f>
        <v>0.18773448683060978</v>
      </c>
      <c r="M100">
        <f t="shared" si="8"/>
        <v>1.1732191779707171</v>
      </c>
      <c r="V100" cm="1">
        <f t="array" ref="V100">BSCall(B100,6.5,0,0.2,G100)</f>
        <v>0.8425272484080697</v>
      </c>
      <c r="W100" cm="1">
        <f t="array" ref="W100">DeltaC(B100,6.5,G100,0,0,0.2)</f>
        <v>0.70769059053538252</v>
      </c>
      <c r="X100" cm="1">
        <f t="array" ref="X100">GammaCP(B100,6.5,G100,0,0,0.2)</f>
        <v>0.2601707456548138</v>
      </c>
      <c r="Z100">
        <f t="shared" si="6"/>
        <v>0.72158184563797911</v>
      </c>
      <c r="AA100">
        <f t="shared" si="7"/>
        <v>0.32466753847836716</v>
      </c>
      <c r="AC100">
        <f t="shared" si="9"/>
        <v>1.2000137305017602</v>
      </c>
    </row>
    <row r="101" spans="1:29" x14ac:dyDescent="0.3">
      <c r="A101" s="2">
        <v>43150</v>
      </c>
      <c r="B101">
        <v>7.17</v>
      </c>
      <c r="C101" s="5">
        <v>1.20689</v>
      </c>
      <c r="D101" s="5">
        <v>0.75168999999999997</v>
      </c>
      <c r="E101" s="7"/>
      <c r="G101">
        <f t="shared" si="5"/>
        <v>0.86301369863013699</v>
      </c>
      <c r="I101" s="8" cm="1">
        <f t="array" ref="I101">BSCall(B101,6,0,0.2,G101)</f>
        <v>1.2794502726838592</v>
      </c>
      <c r="J101" cm="1">
        <f t="array" ref="J101">DeltaC(B101,6,G101,0,0,0.2)</f>
        <v>0.85353595197637899</v>
      </c>
      <c r="K101" cm="1">
        <f t="array" ref="K101">GammaCP(B101,6,G101,0,0,0.2)</f>
        <v>0.17225122610061486</v>
      </c>
      <c r="M101">
        <f t="shared" si="8"/>
        <v>1.2534103031807191</v>
      </c>
      <c r="V101" cm="1">
        <f t="array" ref="V101">BSCall(B101,6.5,0,0.2,G101)</f>
        <v>0.90955952383403638</v>
      </c>
      <c r="W101" cm="1">
        <f t="array" ref="W101">DeltaC(B101,6.5,G101,0,0,0.2)</f>
        <v>0.73267146197903621</v>
      </c>
      <c r="X101" cm="1">
        <f t="array" ref="X101">GammaCP(B101,6.5,G101,0,0,0.2)</f>
        <v>0.24696461845921744</v>
      </c>
      <c r="Z101">
        <f t="shared" si="6"/>
        <v>0.69747329465762964</v>
      </c>
      <c r="AA101">
        <f t="shared" si="7"/>
        <v>0.3425171734882384</v>
      </c>
      <c r="AC101">
        <f t="shared" si="9"/>
        <v>1.2795510872148659</v>
      </c>
    </row>
    <row r="102" spans="1:29" x14ac:dyDescent="0.3">
      <c r="A102" s="2">
        <v>43151</v>
      </c>
      <c r="B102">
        <v>7.0620000000000003</v>
      </c>
      <c r="C102" s="5">
        <v>1.10948</v>
      </c>
      <c r="D102" s="5">
        <v>0.67034000000000005</v>
      </c>
      <c r="E102" s="7"/>
      <c r="G102">
        <f t="shared" si="5"/>
        <v>0.86027397260273974</v>
      </c>
      <c r="I102" s="8" cm="1">
        <f t="array" ref="I102">BSCall(B102,6,0,0.2,G102)</f>
        <v>1.1877878117202547</v>
      </c>
      <c r="J102" cm="1">
        <f t="array" ref="J102">DeltaC(B102,6,G102,0,0,0.2)</f>
        <v>0.83429558315177776</v>
      </c>
      <c r="K102" cm="1">
        <f t="array" ref="K102">GammaCP(B102,6,G102,0,0,0.2)</f>
        <v>0.19001177870580607</v>
      </c>
      <c r="M102">
        <f t="shared" si="8"/>
        <v>1.1612284203672705</v>
      </c>
      <c r="V102" cm="1">
        <f t="array" ref="V102">BSCall(B102,6.5,0,0.2,G102)</f>
        <v>0.83118360493051835</v>
      </c>
      <c r="W102" cm="1">
        <f t="array" ref="W102">DeltaC(B102,6.5,G102,0,0,0.2)</f>
        <v>0.70532818231253347</v>
      </c>
      <c r="X102" cm="1">
        <f t="array" ref="X102">GammaCP(B102,6.5,G102,0,0,0.2)</f>
        <v>0.26324714576525998</v>
      </c>
      <c r="Z102">
        <f t="shared" si="6"/>
        <v>0.72179995780558781</v>
      </c>
      <c r="AA102">
        <f t="shared" si="7"/>
        <v>0.32518973091949921</v>
      </c>
      <c r="AC102">
        <f t="shared" si="9"/>
        <v>1.1878941220986803</v>
      </c>
    </row>
    <row r="103" spans="1:29" x14ac:dyDescent="0.3">
      <c r="A103" s="2">
        <v>43152</v>
      </c>
      <c r="B103">
        <v>7.0739999999999998</v>
      </c>
      <c r="C103" s="5">
        <v>1.1198999999999999</v>
      </c>
      <c r="D103" s="5">
        <v>0.67745999999999995</v>
      </c>
      <c r="E103" s="7"/>
      <c r="G103">
        <f t="shared" si="5"/>
        <v>0.8575342465753425</v>
      </c>
      <c r="I103" s="8" cm="1">
        <f t="array" ref="I103">BSCall(B103,6,0,0.2,G103)</f>
        <v>1.1972973975784784</v>
      </c>
      <c r="J103" cm="1">
        <f t="array" ref="J103">DeltaC(B103,6,G103,0,0,0.2)</f>
        <v>0.83687655520102111</v>
      </c>
      <c r="K103" cm="1">
        <f t="array" ref="K103">GammaCP(B103,6,G103,0,0,0.2)</f>
        <v>0.18806857527812351</v>
      </c>
      <c r="M103">
        <f t="shared" si="8"/>
        <v>1.1712399673650915</v>
      </c>
      <c r="V103" cm="1">
        <f t="array" ref="V103">BSCall(B103,6.5,0,0.2,G103)</f>
        <v>0.83894897977772498</v>
      </c>
      <c r="W103" cm="1">
        <f t="array" ref="W103">DeltaC(B103,6.5,G103,0,0,0.2)</f>
        <v>0.70867574941455902</v>
      </c>
      <c r="X103" cm="1">
        <f t="array" ref="X103">GammaCP(B103,6.5,G103,0,0,0.2)</f>
        <v>0.26182842427135222</v>
      </c>
      <c r="Z103">
        <f t="shared" si="6"/>
        <v>0.71828937519485692</v>
      </c>
      <c r="AA103">
        <f t="shared" si="7"/>
        <v>0.32784229393829056</v>
      </c>
      <c r="AC103">
        <f t="shared" si="9"/>
        <v>1.1974014461067726</v>
      </c>
    </row>
    <row r="104" spans="1:29" x14ac:dyDescent="0.3">
      <c r="A104" s="2">
        <v>43153</v>
      </c>
      <c r="B104">
        <v>7.1059999999999999</v>
      </c>
      <c r="C104" s="5">
        <v>1.1479699999999999</v>
      </c>
      <c r="D104" s="5">
        <v>0.70103000000000004</v>
      </c>
      <c r="E104" s="7"/>
      <c r="G104">
        <f t="shared" si="5"/>
        <v>0.85479452054794525</v>
      </c>
      <c r="I104" s="8" cm="1">
        <f t="array" ref="I104">BSCall(B104,6,0,0.2,G104)</f>
        <v>1.2236671358267603</v>
      </c>
      <c r="J104" cm="1">
        <f t="array" ref="J104">DeltaC(B104,6,G104,0,0,0.2)</f>
        <v>0.84312530986879597</v>
      </c>
      <c r="K104" cm="1">
        <f t="array" ref="K104">GammaCP(B104,6,G104,0,0,0.2)</f>
        <v>0.18279203774330877</v>
      </c>
      <c r="M104">
        <f t="shared" si="8"/>
        <v>1.1980200171315243</v>
      </c>
      <c r="V104" cm="1">
        <f t="array" ref="V104">BSCall(B104,6.5,0,0.2,G104)</f>
        <v>0.86104803776821015</v>
      </c>
      <c r="W104" cm="1">
        <f t="array" ref="W104">DeltaC(B104,6.5,G104,0,0,0.2)</f>
        <v>0.71718946278781426</v>
      </c>
      <c r="X104" cm="1">
        <f t="array" ref="X104">GammaCP(B104,6.5,G104,0,0,0.2)</f>
        <v>0.25742539829568184</v>
      </c>
      <c r="Z104">
        <f t="shared" si="6"/>
        <v>0.71007771165357847</v>
      </c>
      <c r="AA104">
        <f t="shared" si="7"/>
        <v>0.33386505731036553</v>
      </c>
      <c r="AC104">
        <f t="shared" si="9"/>
        <v>1.2237659180691784</v>
      </c>
    </row>
    <row r="105" spans="1:29" x14ac:dyDescent="0.3">
      <c r="A105" s="2">
        <v>43154</v>
      </c>
      <c r="B105">
        <v>7.056</v>
      </c>
      <c r="C105" s="5">
        <v>1.10239</v>
      </c>
      <c r="D105" s="5">
        <v>0.66193999999999997</v>
      </c>
      <c r="E105" s="7"/>
      <c r="G105">
        <f t="shared" si="5"/>
        <v>0.852054794520548</v>
      </c>
      <c r="I105" s="8" cm="1">
        <f t="array" ref="I105">BSCall(B105,6,0,0.2,G105)</f>
        <v>1.1812212162864704</v>
      </c>
      <c r="J105" cm="1">
        <f t="array" ref="J105">DeltaC(B105,6,G105,0,0,0.2)</f>
        <v>0.83409110802648267</v>
      </c>
      <c r="K105" cm="1">
        <f t="array" ref="K105">GammaCP(B105,6,G105,0,0,0.2)</f>
        <v>0.19124078469584233</v>
      </c>
      <c r="M105">
        <f t="shared" si="8"/>
        <v>1.1558637516380847</v>
      </c>
      <c r="V105" cm="1">
        <f t="array" ref="V105">BSCall(B105,6.5,0,0.2,G105)</f>
        <v>0.82479055430503312</v>
      </c>
      <c r="W105" cm="1">
        <f t="array" ref="W105">DeltaC(B105,6.5,G105,0,0,0.2)</f>
        <v>0.70432825060454463</v>
      </c>
      <c r="X105" cm="1">
        <f t="array" ref="X105">GammaCP(B105,6.5,G105,0,0,0.2)</f>
        <v>0.26515194694073713</v>
      </c>
      <c r="Z105">
        <f t="shared" si="6"/>
        <v>0.72124978489630198</v>
      </c>
      <c r="AA105">
        <f t="shared" si="7"/>
        <v>0.32609450878156621</v>
      </c>
      <c r="AC105">
        <f t="shared" si="9"/>
        <v>1.18132703431581</v>
      </c>
    </row>
    <row r="106" spans="1:29" x14ac:dyDescent="0.3">
      <c r="A106" s="2">
        <v>43157</v>
      </c>
      <c r="B106">
        <v>6.9880000000000004</v>
      </c>
      <c r="C106" s="5">
        <v>1.04037</v>
      </c>
      <c r="D106" s="5">
        <v>0.60643999999999998</v>
      </c>
      <c r="E106" s="7"/>
      <c r="G106">
        <f t="shared" si="5"/>
        <v>0.84383561643835614</v>
      </c>
      <c r="I106" s="8" cm="1">
        <f t="array" ref="I106">BSCall(B106,6,0,0.2,G106)</f>
        <v>1.1233240559685491</v>
      </c>
      <c r="J106" cm="1">
        <f t="array" ref="J106">DeltaC(B106,6,G106,0,0,0.2)</f>
        <v>0.82162329678588875</v>
      </c>
      <c r="K106" cm="1">
        <f t="array" ref="K106">GammaCP(B106,6,G106,0,0,0.2)</f>
        <v>0.20322511196051199</v>
      </c>
      <c r="M106">
        <f t="shared" si="8"/>
        <v>1.0991455562922843</v>
      </c>
      <c r="V106" cm="1">
        <f t="array" ref="V106">BSCall(B106,6.5,0,0.2,G106)</f>
        <v>0.77530485478764177</v>
      </c>
      <c r="W106" cm="1">
        <f t="array" ref="W106">DeltaC(B106,6.5,G106,0,0,0.2)</f>
        <v>0.68647878317795119</v>
      </c>
      <c r="X106" cm="1">
        <f t="array" ref="X106">GammaCP(B106,6.5,G106,0,0,0.2)</f>
        <v>0.27614128521212766</v>
      </c>
      <c r="Z106">
        <f t="shared" si="6"/>
        <v>0.73594613642939144</v>
      </c>
      <c r="AA106">
        <f t="shared" si="7"/>
        <v>0.31641188856532565</v>
      </c>
      <c r="AC106">
        <f t="shared" si="9"/>
        <v>1.123461057586302</v>
      </c>
    </row>
    <row r="107" spans="1:29" x14ac:dyDescent="0.3">
      <c r="A107" s="2">
        <v>43158</v>
      </c>
      <c r="B107">
        <v>7.0759999999999996</v>
      </c>
      <c r="C107" s="5">
        <v>1.11873</v>
      </c>
      <c r="D107" s="5">
        <v>0.67066000000000003</v>
      </c>
      <c r="E107" s="7"/>
      <c r="G107">
        <f t="shared" si="5"/>
        <v>0.84109589041095889</v>
      </c>
      <c r="I107" s="8" cm="1">
        <f t="array" ref="I107">BSCall(B107,6,0,0.2,G107)</f>
        <v>1.1958780518911452</v>
      </c>
      <c r="J107" cm="1">
        <f t="array" ref="J107">DeltaC(B107,6,G107,0,0,0.2)</f>
        <v>0.83915650126814467</v>
      </c>
      <c r="K107" cm="1">
        <f t="array" ref="K107">GammaCP(B107,6,G107,0,0,0.2)</f>
        <v>0.18811115932589578</v>
      </c>
      <c r="M107">
        <f t="shared" si="8"/>
        <v>1.1714484064094419</v>
      </c>
      <c r="V107" cm="1">
        <f t="array" ref="V107">BSCall(B107,6.5,0,0.2,G107)</f>
        <v>0.83604506313034666</v>
      </c>
      <c r="W107" cm="1">
        <f t="array" ref="W107">DeltaC(B107,6.5,G107,0,0,0.2)</f>
        <v>0.71042026658960056</v>
      </c>
      <c r="X107" cm="1">
        <f t="array" ref="X107">GammaCP(B107,6.5,G107,0,0,0.2)</f>
        <v>0.26355786703951217</v>
      </c>
      <c r="Z107">
        <f t="shared" si="6"/>
        <v>0.71373759940808168</v>
      </c>
      <c r="AA107">
        <f t="shared" si="7"/>
        <v>0.33210284562163372</v>
      </c>
      <c r="AC107">
        <f t="shared" si="9"/>
        <v>1.1960068254357805</v>
      </c>
    </row>
    <row r="108" spans="1:29" x14ac:dyDescent="0.3">
      <c r="A108" s="2">
        <v>43159</v>
      </c>
      <c r="B108">
        <v>7.1</v>
      </c>
      <c r="C108" s="5">
        <v>1.1406000000000001</v>
      </c>
      <c r="D108" s="5">
        <v>0.69055999999999995</v>
      </c>
      <c r="E108" s="7"/>
      <c r="G108">
        <f t="shared" si="5"/>
        <v>0.83835616438356164</v>
      </c>
      <c r="I108" s="8" cm="1">
        <f t="array" ref="I108">BSCall(B108,6,0,0.2,G108)</f>
        <v>1.2155631553905097</v>
      </c>
      <c r="J108" cm="1">
        <f t="array" ref="J108">DeltaC(B108,6,G108,0,0,0.2)</f>
        <v>0.8439453831703535</v>
      </c>
      <c r="K108" cm="1">
        <f t="array" ref="K108">GammaCP(B108,6,G108,0,0,0.2)</f>
        <v>0.1840949200450446</v>
      </c>
      <c r="M108">
        <f t="shared" si="8"/>
        <v>1.1915881624398774</v>
      </c>
      <c r="V108" cm="1">
        <f t="array" ref="V108">BSCall(B108,6.5,0,0.2,G108)</f>
        <v>0.85245222967508383</v>
      </c>
      <c r="W108" cm="1">
        <f t="array" ref="W108">DeltaC(B108,6.5,G108,0,0,0.2)</f>
        <v>0.71691778464410105</v>
      </c>
      <c r="X108" cm="1">
        <f t="array" ref="X108">GammaCP(B108,6.5,G108,0,0,0.2)</f>
        <v>0.26027655323403626</v>
      </c>
      <c r="Z108">
        <f t="shared" si="6"/>
        <v>0.70730504825576657</v>
      </c>
      <c r="AA108">
        <f t="shared" si="7"/>
        <v>0.33686581490724032</v>
      </c>
      <c r="AC108">
        <f t="shared" si="9"/>
        <v>1.2156877053934292</v>
      </c>
    </row>
    <row r="109" spans="1:29" x14ac:dyDescent="0.3">
      <c r="A109" s="2">
        <v>43160</v>
      </c>
      <c r="B109">
        <v>7.008</v>
      </c>
      <c r="C109" s="5">
        <v>1.05725</v>
      </c>
      <c r="D109" s="5">
        <v>0.61941000000000002</v>
      </c>
      <c r="E109" s="7"/>
      <c r="G109">
        <f t="shared" si="5"/>
        <v>0.83561643835616439</v>
      </c>
      <c r="I109" s="8" cm="1">
        <f t="array" ref="I109">BSCall(B109,6,0,0.2,G109)</f>
        <v>1.1381832681172588</v>
      </c>
      <c r="J109" cm="1">
        <f t="array" ref="J109">DeltaC(B109,6,G109,0,0,0.2)</f>
        <v>0.82660232535104772</v>
      </c>
      <c r="K109" cm="1">
        <f t="array" ref="K109">GammaCP(B109,6,G109,0,0,0.2)</f>
        <v>0.20002067279844282</v>
      </c>
      <c r="M109">
        <f t="shared" si="8"/>
        <v>1.1139451871882051</v>
      </c>
      <c r="V109" cm="1">
        <f t="array" ref="V109">BSCall(B109,6.5,0,0.2,G109)</f>
        <v>0.78687895270861219</v>
      </c>
      <c r="W109" cm="1">
        <f t="array" ref="W109">DeltaC(B109,6.5,G109,0,0,0.2)</f>
        <v>0.69252166137332627</v>
      </c>
      <c r="X109" cm="1">
        <f t="array" ref="X109">GammaCP(B109,6.5,G109,0,0,0.2)</f>
        <v>0.27437208492575094</v>
      </c>
      <c r="Z109">
        <f t="shared" si="6"/>
        <v>0.72901247534920077</v>
      </c>
      <c r="AA109">
        <f t="shared" si="7"/>
        <v>0.32174539476033814</v>
      </c>
      <c r="AC109">
        <f t="shared" si="9"/>
        <v>1.1383157405929043</v>
      </c>
    </row>
    <row r="110" spans="1:29" x14ac:dyDescent="0.3">
      <c r="A110" s="2">
        <v>43161</v>
      </c>
      <c r="B110">
        <v>6.7220000000000004</v>
      </c>
      <c r="C110" s="5">
        <v>0.81028</v>
      </c>
      <c r="D110" s="5">
        <v>0.41370000000000001</v>
      </c>
      <c r="E110" s="7"/>
      <c r="G110">
        <f t="shared" si="5"/>
        <v>0.83287671232876714</v>
      </c>
      <c r="I110" s="8" cm="1">
        <f t="array" ref="I110">BSCall(B110,6,0,0.2,G110)</f>
        <v>0.91002869268497122</v>
      </c>
      <c r="J110" cm="1">
        <f t="array" ref="J110">DeltaC(B110,6,G110,0,0,0.2)</f>
        <v>0.76232126634620778</v>
      </c>
      <c r="K110" cm="1">
        <f t="array" ref="K110">GammaCP(B110,6,G110,0,0,0.2)</f>
        <v>0.25203202463758523</v>
      </c>
      <c r="M110">
        <f t="shared" si="8"/>
        <v>0.87753692213780576</v>
      </c>
      <c r="V110" cm="1">
        <f t="array" ref="V110">BSCall(B110,6.5,0,0.2,G110)</f>
        <v>0.59981408915231071</v>
      </c>
      <c r="W110" cm="1">
        <f t="array" ref="W110">DeltaC(B110,6.5,G110,0,0,0.2)</f>
        <v>0.60844067325862716</v>
      </c>
      <c r="X110" cm="1">
        <f t="array" ref="X110">GammaCP(B110,6.5,G110,0,0,0.2)</f>
        <v>0.31306802375947379</v>
      </c>
      <c r="Z110">
        <f t="shared" si="6"/>
        <v>0.80503917842218931</v>
      </c>
      <c r="AA110">
        <f t="shared" si="7"/>
        <v>0.27250268662743882</v>
      </c>
      <c r="AC110">
        <f t="shared" si="9"/>
        <v>0.909923938459408</v>
      </c>
    </row>
    <row r="111" spans="1:29" x14ac:dyDescent="0.3">
      <c r="A111" s="2">
        <v>43164</v>
      </c>
      <c r="B111">
        <v>6.74</v>
      </c>
      <c r="C111" s="5">
        <v>0.83109</v>
      </c>
      <c r="D111" s="5">
        <v>0.45415</v>
      </c>
      <c r="E111" s="7"/>
      <c r="G111">
        <f t="shared" si="5"/>
        <v>0.8246575342465754</v>
      </c>
      <c r="I111" s="8" cm="1">
        <f t="array" ref="I111">BSCall(B111,6,0,0.2,G111)</f>
        <v>0.92193105133593978</v>
      </c>
      <c r="J111" cm="1">
        <f t="array" ref="J111">DeltaC(B111,6,G111,0,0,0.2)</f>
        <v>0.76765822122371496</v>
      </c>
      <c r="K111" cm="1">
        <f t="array" ref="K111">GammaCP(B111,6,G111,0,0,0.2)</f>
        <v>0.24945869560016795</v>
      </c>
      <c r="M111">
        <f t="shared" si="8"/>
        <v>0.89125870493203729</v>
      </c>
      <c r="V111" cm="1">
        <f t="array" ref="V111">BSCall(B111,6.5,0,0.2,G111)</f>
        <v>0.60848907302933108</v>
      </c>
      <c r="W111" cm="1">
        <f t="array" ref="W111">DeltaC(B111,6.5,G111,0,0,0.2)</f>
        <v>0.61426187108429842</v>
      </c>
      <c r="X111" cm="1">
        <f t="array" ref="X111">GammaCP(B111,6.5,G111,0,0,0.2)</f>
        <v>0.31243901381052208</v>
      </c>
      <c r="Z111">
        <f t="shared" si="6"/>
        <v>0.79842364293036594</v>
      </c>
      <c r="AA111">
        <f t="shared" si="7"/>
        <v>0.27721702039936663</v>
      </c>
      <c r="AC111">
        <f t="shared" si="9"/>
        <v>0.92181268871188404</v>
      </c>
    </row>
    <row r="112" spans="1:29" x14ac:dyDescent="0.3">
      <c r="A112" s="2">
        <v>43165</v>
      </c>
      <c r="B112">
        <v>6.7919999999999998</v>
      </c>
      <c r="C112" s="5">
        <v>0.87529999999999997</v>
      </c>
      <c r="D112" s="5">
        <v>0.50158999999999998</v>
      </c>
      <c r="E112" s="7"/>
      <c r="G112">
        <f t="shared" si="5"/>
        <v>0.82191780821917804</v>
      </c>
      <c r="I112" s="8" cm="1">
        <f t="array" ref="I112">BSCall(B112,6,0,0.2,G112)</f>
        <v>0.96157578315332692</v>
      </c>
      <c r="J112" cm="1">
        <f t="array" ref="J112">DeltaC(B112,6,G112,0,0,0.2)</f>
        <v>0.78067016939856138</v>
      </c>
      <c r="K112" cm="1">
        <f t="array" ref="K112">GammaCP(B112,6,G112,0,0,0.2)</f>
        <v>0.24000832566328481</v>
      </c>
      <c r="M112">
        <f t="shared" si="8"/>
        <v>0.93117693243567012</v>
      </c>
      <c r="V112" cm="1">
        <f t="array" ref="V112">BSCall(B112,6.5,0,0.2,G112)</f>
        <v>0.64007617814127959</v>
      </c>
      <c r="W112" cm="1">
        <f t="array" ref="W112">DeltaC(B112,6.5,G112,0,0,0.2)</f>
        <v>0.63043760338425103</v>
      </c>
      <c r="X112" cm="1">
        <f t="array" ref="X112">GammaCP(B112,6.5,G112,0,0,0.2)</f>
        <v>0.30646941489484969</v>
      </c>
      <c r="Z112">
        <f t="shared" si="6"/>
        <v>0.78313956955747832</v>
      </c>
      <c r="AA112">
        <f t="shared" si="7"/>
        <v>0.2869495360513708</v>
      </c>
      <c r="AC112">
        <f t="shared" si="9"/>
        <v>0.96144786530575732</v>
      </c>
    </row>
    <row r="113" spans="1:29" x14ac:dyDescent="0.3">
      <c r="A113" s="2">
        <v>43166</v>
      </c>
      <c r="B113">
        <v>6.8140000000000001</v>
      </c>
      <c r="C113" s="5">
        <v>0.89278999999999997</v>
      </c>
      <c r="D113" s="5">
        <v>0.51427999999999996</v>
      </c>
      <c r="E113" s="7"/>
      <c r="G113">
        <f t="shared" si="5"/>
        <v>0.81917808219178079</v>
      </c>
      <c r="I113" s="8" cm="1">
        <f t="array" ref="I113">BSCall(B113,6,0,0.2,G113)</f>
        <v>0.97820782113144933</v>
      </c>
      <c r="J113" cm="1">
        <f t="array" ref="J113">DeltaC(B113,6,G113,0,0,0.2)</f>
        <v>0.78620280516549212</v>
      </c>
      <c r="K113" cm="1">
        <f t="array" ref="K113">GammaCP(B113,6,G113,0,0,0.2)</f>
        <v>0.23611712631508941</v>
      </c>
      <c r="M113">
        <f t="shared" si="8"/>
        <v>0.94835167616243865</v>
      </c>
      <c r="V113" cm="1">
        <f t="array" ref="V113">BSCall(B113,6.5,0,0.2,G113)</f>
        <v>0.6532466770025338</v>
      </c>
      <c r="W113" cm="1">
        <f t="array" ref="W113">DeltaC(B113,6.5,G113,0,0,0.2)</f>
        <v>0.63725507545576821</v>
      </c>
      <c r="X113" cm="1">
        <f t="array" ref="X113">GammaCP(B113,6.5,G113,0,0,0.2)</f>
        <v>0.30409970818673016</v>
      </c>
      <c r="Z113">
        <f t="shared" si="6"/>
        <v>0.77644640872231108</v>
      </c>
      <c r="AA113">
        <f t="shared" si="7"/>
        <v>0.29140839038779554</v>
      </c>
      <c r="AC113">
        <f t="shared" si="9"/>
        <v>0.97807509390794745</v>
      </c>
    </row>
    <row r="114" spans="1:29" x14ac:dyDescent="0.3">
      <c r="A114" s="2">
        <v>43167</v>
      </c>
      <c r="B114">
        <v>6.9059999999999997</v>
      </c>
      <c r="C114" s="5">
        <v>0.97001999999999999</v>
      </c>
      <c r="D114" s="5">
        <v>0.57189999999999996</v>
      </c>
      <c r="E114" s="7"/>
      <c r="G114">
        <f t="shared" si="5"/>
        <v>0.81643835616438354</v>
      </c>
      <c r="I114" s="8" cm="1">
        <f t="array" ref="I114">BSCall(B114,6,0,0.2,G114)</f>
        <v>1.0509408985961137</v>
      </c>
      <c r="J114" cm="1">
        <f t="array" ref="J114">DeltaC(B114,6,G114,0,0,0.2)</f>
        <v>0.80745453889367336</v>
      </c>
      <c r="K114" cm="1">
        <f t="array" ref="K114">GammaCP(B114,6,G114,0,0,0.2)</f>
        <v>0.21921931057282007</v>
      </c>
      <c r="M114">
        <f t="shared" si="8"/>
        <v>1.0206823342376636</v>
      </c>
      <c r="V114" cm="1">
        <f t="array" ref="V114">BSCall(B114,6.5,0,0.2,G114)</f>
        <v>0.71238125171160327</v>
      </c>
      <c r="W114" cm="1">
        <f t="array" ref="W114">DeltaC(B114,6.5,G114,0,0,0.2)</f>
        <v>0.66481107560027319</v>
      </c>
      <c r="X114" cm="1">
        <f t="array" ref="X114">GammaCP(B114,6.5,G114,0,0,0.2)</f>
        <v>0.29198013284986485</v>
      </c>
      <c r="Z114">
        <f t="shared" si="6"/>
        <v>0.75080214682120805</v>
      </c>
      <c r="AA114">
        <f t="shared" si="7"/>
        <v>0.30831295610247178</v>
      </c>
      <c r="AC114">
        <f t="shared" si="9"/>
        <v>1.0507994939878027</v>
      </c>
    </row>
    <row r="115" spans="1:29" x14ac:dyDescent="0.3">
      <c r="A115" s="2">
        <v>43168</v>
      </c>
      <c r="B115">
        <v>6.89</v>
      </c>
      <c r="C115" s="5">
        <v>0.95421999999999996</v>
      </c>
      <c r="D115" s="5">
        <v>0.54722000000000004</v>
      </c>
      <c r="E115" s="7"/>
      <c r="G115">
        <f t="shared" si="5"/>
        <v>0.81369863013698629</v>
      </c>
      <c r="I115" s="8" cm="1">
        <f t="array" ref="I115">BSCall(B115,6,0,0.2,G115)</f>
        <v>1.0374716874881083</v>
      </c>
      <c r="J115" cm="1">
        <f t="array" ref="J115">DeltaC(B115,6,G115,0,0,0.2)</f>
        <v>0.80423742203674986</v>
      </c>
      <c r="K115" cm="1">
        <f t="array" ref="K115">GammaCP(B115,6,G115,0,0,0.2)</f>
        <v>0.22233075000342661</v>
      </c>
      <c r="M115">
        <f t="shared" si="8"/>
        <v>1.0077630616153648</v>
      </c>
      <c r="V115" cm="1">
        <f t="array" ref="V115">BSCall(B115,6.5,0,0.2,G115)</f>
        <v>0.70101579026464078</v>
      </c>
      <c r="W115" cm="1">
        <f t="array" ref="W115">DeltaC(B115,6.5,G115,0,0,0.2)</f>
        <v>0.66026440472330805</v>
      </c>
      <c r="X115" cm="1">
        <f t="array" ref="X115">GammaCP(B115,6.5,G115,0,0,0.2)</f>
        <v>0.29468450882080099</v>
      </c>
      <c r="Z115">
        <f t="shared" si="6"/>
        <v>0.75447043651224632</v>
      </c>
      <c r="AA115">
        <f t="shared" si="7"/>
        <v>0.30608744839165714</v>
      </c>
      <c r="AC115">
        <f t="shared" si="9"/>
        <v>1.0373332738361702</v>
      </c>
    </row>
    <row r="116" spans="1:29" x14ac:dyDescent="0.3">
      <c r="A116" s="2">
        <v>43171</v>
      </c>
      <c r="B116">
        <v>6.9260000000000002</v>
      </c>
      <c r="C116" s="5">
        <v>0.98309999999999997</v>
      </c>
      <c r="D116" s="5">
        <v>0.56315999999999999</v>
      </c>
      <c r="E116" s="7"/>
      <c r="G116">
        <f t="shared" si="5"/>
        <v>0.80547945205479454</v>
      </c>
      <c r="I116" s="8" cm="1">
        <f t="array" ref="I116">BSCall(B116,6,0,0.2,G116)</f>
        <v>1.0648645508472425</v>
      </c>
      <c r="J116" cm="1">
        <f t="array" ref="J116">DeltaC(B116,6,G116,0,0,0.2)</f>
        <v>0.81308785115063809</v>
      </c>
      <c r="K116" cm="1">
        <f t="array" ref="K116">GammaCP(B116,6,G116,0,0,0.2)</f>
        <v>0.21608561003420507</v>
      </c>
      <c r="M116">
        <f t="shared" si="8"/>
        <v>1.0367156088086882</v>
      </c>
      <c r="V116" cm="1">
        <f t="array" ref="V116">BSCall(B116,6.5,0,0.2,G116)</f>
        <v>0.72268679556235416</v>
      </c>
      <c r="W116" cm="1">
        <f t="array" ref="W116">DeltaC(B116,6.5,G116,0,0,0.2)</f>
        <v>0.67126355891703748</v>
      </c>
      <c r="X116" cm="1">
        <f t="array" ref="X116">GammaCP(B116,6.5,G116,0,0,0.2)</f>
        <v>0.29085563559427607</v>
      </c>
      <c r="Z116">
        <f t="shared" si="6"/>
        <v>0.74293079999188971</v>
      </c>
      <c r="AA116">
        <f t="shared" si="7"/>
        <v>0.31438547831900043</v>
      </c>
      <c r="AC116">
        <f t="shared" si="9"/>
        <v>1.0647025548048952</v>
      </c>
    </row>
    <row r="117" spans="1:29" x14ac:dyDescent="0.3">
      <c r="A117" s="2">
        <v>43172</v>
      </c>
      <c r="B117">
        <v>6.9320000000000004</v>
      </c>
      <c r="C117" s="5">
        <v>0.98692999999999997</v>
      </c>
      <c r="D117" s="5">
        <v>0.55993000000000004</v>
      </c>
      <c r="E117" s="7"/>
      <c r="G117">
        <f t="shared" si="5"/>
        <v>0.80273972602739729</v>
      </c>
      <c r="I117" s="8" cm="1">
        <f t="array" ref="I117">BSCall(B117,6,0,0.2,G117)</f>
        <v>1.0691807620622287</v>
      </c>
      <c r="J117" cm="1">
        <f t="array" ref="J117">DeltaC(B117,6,G117,0,0,0.2)</f>
        <v>0.81470684798037796</v>
      </c>
      <c r="K117" cm="1">
        <f t="array" ref="K117">GammaCP(B117,6,G117,0,0,0.2)</f>
        <v>0.21510362025468041</v>
      </c>
      <c r="M117">
        <f t="shared" si="8"/>
        <v>1.0415941359155922</v>
      </c>
      <c r="V117" cm="1">
        <f t="array" ref="V117">BSCall(B117,6.5,0,0.2,G117)</f>
        <v>0.72595551307417505</v>
      </c>
      <c r="W117" cm="1">
        <f t="array" ref="W117">DeltaC(B117,6.5,G117,0,0,0.2)</f>
        <v>0.67317146679104856</v>
      </c>
      <c r="X117" cm="1">
        <f t="array" ref="X117">GammaCP(B117,6.5,G117,0,0,0.2)</f>
        <v>0.29041426379370461</v>
      </c>
      <c r="Z117">
        <f t="shared" si="6"/>
        <v>0.74067856531826204</v>
      </c>
      <c r="AA117">
        <f t="shared" si="7"/>
        <v>0.31610317174439401</v>
      </c>
      <c r="AC117">
        <f t="shared" si="9"/>
        <v>1.0690172985908137</v>
      </c>
    </row>
    <row r="118" spans="1:29" x14ac:dyDescent="0.3">
      <c r="A118" s="2">
        <v>43173</v>
      </c>
      <c r="B118">
        <v>6.9020000000000001</v>
      </c>
      <c r="C118" s="5">
        <v>0.95918999999999999</v>
      </c>
      <c r="D118" s="5">
        <v>0.53208</v>
      </c>
      <c r="E118" s="7"/>
      <c r="G118">
        <f t="shared" si="5"/>
        <v>0.8</v>
      </c>
      <c r="I118" s="8" cm="1">
        <f t="array" ref="I118">BSCall(B118,6,0,0.2,G118)</f>
        <v>1.0442608902293422</v>
      </c>
      <c r="J118" cm="1">
        <f t="array" ref="J118">DeltaC(B118,6,G118,0,0,0.2)</f>
        <v>0.80849285631797774</v>
      </c>
      <c r="K118" cm="1">
        <f t="array" ref="K118">GammaCP(B118,6,G118,0,0,0.2)</f>
        <v>0.22085643157448737</v>
      </c>
      <c r="M118">
        <f t="shared" si="8"/>
        <v>1.0171529304761806</v>
      </c>
      <c r="V118" cm="1">
        <f t="array" ref="V118">BSCall(B118,6.5,0,0.2,G118)</f>
        <v>0.70512167841711726</v>
      </c>
      <c r="W118" cm="1">
        <f t="array" ref="W118">DeltaC(B118,6.5,G118,0,0,0.2)</f>
        <v>0.66454648637294633</v>
      </c>
      <c r="X118" cm="1">
        <f t="array" ref="X118">GammaCP(B118,6.5,G118,0,0,0.2)</f>
        <v>0.29522675422113287</v>
      </c>
      <c r="Z118">
        <f t="shared" si="6"/>
        <v>0.74809084345065791</v>
      </c>
      <c r="AA118">
        <f t="shared" si="7"/>
        <v>0.31135171481506918</v>
      </c>
      <c r="AC118">
        <f t="shared" si="9"/>
        <v>1.0441030286746145</v>
      </c>
    </row>
    <row r="119" spans="1:29" x14ac:dyDescent="0.3">
      <c r="A119" s="2">
        <v>43174</v>
      </c>
      <c r="B119">
        <v>6.8840000000000003</v>
      </c>
      <c r="C119" s="5">
        <v>0.94272999999999996</v>
      </c>
      <c r="D119" s="5">
        <v>0.51590999999999998</v>
      </c>
      <c r="E119" s="7"/>
      <c r="G119">
        <f t="shared" si="5"/>
        <v>0.79726027397260268</v>
      </c>
      <c r="I119" s="8" cm="1">
        <f t="array" ref="I119">BSCall(B119,6,0,0.2,G119)</f>
        <v>1.0291614717000561</v>
      </c>
      <c r="J119" cm="1">
        <f t="array" ref="J119">DeltaC(B119,6,G119,0,0,0.2)</f>
        <v>0.80480868627826296</v>
      </c>
      <c r="K119" cm="1">
        <f t="array" ref="K119">GammaCP(B119,6,G119,0,0,0.2)</f>
        <v>0.22440823806734236</v>
      </c>
      <c r="M119">
        <f t="shared" si="8"/>
        <v>1.0026000590624571</v>
      </c>
      <c r="V119" cm="1">
        <f t="array" ref="V119">BSCall(B119,6.5,0,0.2,G119)</f>
        <v>0.6924338936041563</v>
      </c>
      <c r="W119" cm="1">
        <f t="array" ref="W119">DeltaC(B119,6.5,G119,0,0,0.2)</f>
        <v>0.6593549010545916</v>
      </c>
      <c r="X119" cm="1">
        <f t="array" ref="X119">GammaCP(B119,6.5,G119,0,0,0.2)</f>
        <v>0.29827123995764471</v>
      </c>
      <c r="Z119">
        <f t="shared" si="6"/>
        <v>0.75236297706479816</v>
      </c>
      <c r="AA119">
        <f t="shared" si="7"/>
        <v>0.30873446997856502</v>
      </c>
      <c r="AC119">
        <f t="shared" si="9"/>
        <v>1.0290070821656949</v>
      </c>
    </row>
    <row r="120" spans="1:29" x14ac:dyDescent="0.3">
      <c r="A120" s="2">
        <v>43175</v>
      </c>
      <c r="B120">
        <v>6.91</v>
      </c>
      <c r="C120" s="5">
        <v>0.96497999999999995</v>
      </c>
      <c r="D120" s="5">
        <v>0.53358000000000005</v>
      </c>
      <c r="E120" s="7"/>
      <c r="G120">
        <f t="shared" si="5"/>
        <v>0.79452054794520544</v>
      </c>
      <c r="I120" s="8" cm="1">
        <f t="array" ref="I120">BSCall(B120,6,0,0.2,G120)</f>
        <v>1.0495873249424692</v>
      </c>
      <c r="J120" cm="1">
        <f t="array" ref="J120">DeltaC(B120,6,G120,0,0,0.2)</f>
        <v>0.81090659485213912</v>
      </c>
      <c r="K120" cm="1">
        <f t="array" ref="K120">GammaCP(B120,6,G120,0,0,0.2)</f>
        <v>0.21964210755967645</v>
      </c>
      <c r="M120">
        <f t="shared" si="8"/>
        <v>1.0235250849056918</v>
      </c>
      <c r="V120" cm="1">
        <f t="array" ref="V120">BSCall(B120,6.5,0,0.2,G120)</f>
        <v>0.70890636728016387</v>
      </c>
      <c r="W120" cm="1">
        <f t="array" ref="W120">DeltaC(B120,6.5,G120,0,0,0.2)</f>
        <v>0.66721993831268489</v>
      </c>
      <c r="X120" cm="1">
        <f t="array" ref="X120">GammaCP(B120,6.5,G120,0,0,0.2)</f>
        <v>0.29496993700785962</v>
      </c>
      <c r="Z120">
        <f t="shared" si="6"/>
        <v>0.7446254007703299</v>
      </c>
      <c r="AA120">
        <f t="shared" si="7"/>
        <v>0.31407768088410132</v>
      </c>
      <c r="AC120">
        <f t="shared" si="9"/>
        <v>1.0494274577196401</v>
      </c>
    </row>
    <row r="121" spans="1:29" x14ac:dyDescent="0.3">
      <c r="A121" s="2">
        <v>43178</v>
      </c>
      <c r="B121">
        <v>6.8579999999999997</v>
      </c>
      <c r="C121" s="5">
        <v>0.91827999999999999</v>
      </c>
      <c r="D121" s="5">
        <v>0.49264000000000002</v>
      </c>
      <c r="E121" s="7"/>
      <c r="G121">
        <f t="shared" si="5"/>
        <v>0.78630136986301369</v>
      </c>
      <c r="I121" s="8" cm="1">
        <f t="array" ref="I121">BSCall(B121,6,0,0.2,G121)</f>
        <v>1.0059450313934581</v>
      </c>
      <c r="J121" cm="1">
        <f t="array" ref="J121">DeltaC(B121,6,G121,0,0,0.2)</f>
        <v>0.80019440025651301</v>
      </c>
      <c r="K121" cm="1">
        <f t="array" ref="K121">GammaCP(B121,6,G121,0,0,0.2)</f>
        <v>0.23005039755653811</v>
      </c>
      <c r="M121">
        <f t="shared" si="8"/>
        <v>0.98135794197338022</v>
      </c>
      <c r="V121" cm="1">
        <f t="array" ref="V121">BSCall(B121,6.5,0,0.2,G121)</f>
        <v>0.67226938001283587</v>
      </c>
      <c r="W121" cm="1">
        <f t="array" ref="W121">DeltaC(B121,6.5,G121,0,0,0.2)</f>
        <v>0.65209496615275453</v>
      </c>
      <c r="X121" cm="1">
        <f t="array" ref="X121">GammaCP(B121,6.5,G121,0,0,0.2)</f>
        <v>0.30387385377988679</v>
      </c>
      <c r="Z121">
        <f t="shared" si="6"/>
        <v>0.75705887392067883</v>
      </c>
      <c r="AA121">
        <f t="shared" si="7"/>
        <v>0.30652011949156549</v>
      </c>
      <c r="AC121">
        <f t="shared" si="9"/>
        <v>1.005814586986715</v>
      </c>
    </row>
    <row r="122" spans="1:29" x14ac:dyDescent="0.3">
      <c r="A122" s="2">
        <v>43179</v>
      </c>
      <c r="B122">
        <v>6.9480000000000004</v>
      </c>
      <c r="C122" s="5">
        <v>0.99761999999999995</v>
      </c>
      <c r="D122" s="5">
        <v>0.56081999999999999</v>
      </c>
      <c r="E122" s="7"/>
      <c r="G122">
        <f t="shared" si="5"/>
        <v>0.78356164383561644</v>
      </c>
      <c r="I122" s="8" cm="1">
        <f t="array" ref="I122">BSCall(B122,6,0,0.2,G122)</f>
        <v>1.078307690647895</v>
      </c>
      <c r="J122" cm="1">
        <f t="array" ref="J122">DeltaC(B122,6,G122,0,0,0.2)</f>
        <v>0.82046084355986348</v>
      </c>
      <c r="K122" cm="1">
        <f t="array" ref="K122">GammaCP(B122,6,G122,0,0,0.2)</f>
        <v>0.2129796237081473</v>
      </c>
      <c r="M122">
        <f t="shared" si="8"/>
        <v>1.053375437996467</v>
      </c>
      <c r="V122" cm="1">
        <f t="array" ref="V122">BSCall(B122,6.5,0,0.2,G122)</f>
        <v>0.7314016431906416</v>
      </c>
      <c r="W122" cm="1">
        <f t="array" ref="W122">DeltaC(B122,6.5,G122,0,0,0.2)</f>
        <v>0.6790347129909029</v>
      </c>
      <c r="X122" cm="1">
        <f t="array" ref="X122">GammaCP(B122,6.5,G122,0,0,0.2)</f>
        <v>0.29109233176382593</v>
      </c>
      <c r="Z122">
        <f t="shared" si="6"/>
        <v>0.73165659300481201</v>
      </c>
      <c r="AA122">
        <f t="shared" si="7"/>
        <v>0.32364061892093909</v>
      </c>
      <c r="AC122">
        <f t="shared" si="9"/>
        <v>1.0781680023147271</v>
      </c>
    </row>
    <row r="123" spans="1:29" x14ac:dyDescent="0.3">
      <c r="A123" s="2">
        <v>43180</v>
      </c>
      <c r="B123">
        <v>6.944</v>
      </c>
      <c r="C123" s="5">
        <v>0.99378999999999995</v>
      </c>
      <c r="D123" s="5">
        <v>0.55523</v>
      </c>
      <c r="E123" s="7"/>
      <c r="G123">
        <f t="shared" si="5"/>
        <v>0.78082191780821919</v>
      </c>
      <c r="I123" s="8" cm="1">
        <f t="array" ref="I123">BSCall(B123,6,0,0.2,G123)</f>
        <v>1.0744626657777454</v>
      </c>
      <c r="J123" cm="1">
        <f t="array" ref="J123">DeltaC(B123,6,G123,0,0,0.2)</f>
        <v>0.81994664782429116</v>
      </c>
      <c r="K123" cm="1">
        <f t="array" ref="K123">GammaCP(B123,6,G123,0,0,0.2)</f>
        <v>0.21385970652252942</v>
      </c>
      <c r="M123">
        <f t="shared" si="8"/>
        <v>1.0500935946222272</v>
      </c>
      <c r="V123" cm="1">
        <f t="array" ref="V123">BSCall(B123,6.5,0,0.2,G123)</f>
        <v>0.72791653688549207</v>
      </c>
      <c r="W123" cm="1">
        <f t="array" ref="W123">DeltaC(B123,6.5,G123,0,0,0.2)</f>
        <v>0.67804816740633422</v>
      </c>
      <c r="X123" cm="1">
        <f t="array" ref="X123">GammaCP(B123,6.5,G123,0,0,0.2)</f>
        <v>0.29214325370675837</v>
      </c>
      <c r="Z123">
        <f t="shared" si="6"/>
        <v>0.73203712154583311</v>
      </c>
      <c r="AA123">
        <f t="shared" si="7"/>
        <v>0.32359021908673108</v>
      </c>
      <c r="AC123">
        <f t="shared" si="9"/>
        <v>1.0743235388335579</v>
      </c>
    </row>
    <row r="124" spans="1:29" x14ac:dyDescent="0.3">
      <c r="A124" s="2">
        <v>43181</v>
      </c>
      <c r="B124">
        <v>6.7439999999999998</v>
      </c>
      <c r="C124" s="5">
        <v>0.81962999999999997</v>
      </c>
      <c r="D124" s="5">
        <v>0.41078999999999999</v>
      </c>
      <c r="E124" s="7"/>
      <c r="G124">
        <f t="shared" si="5"/>
        <v>0.77808219178082194</v>
      </c>
      <c r="I124" s="8" cm="1">
        <f t="array" ref="I124">BSCall(B124,6,0,0.2,G124)</f>
        <v>0.91437720445140069</v>
      </c>
      <c r="J124" cm="1">
        <f t="array" ref="J124">DeltaC(B124,6,G124,0,0,0.2)</f>
        <v>0.77361486701951776</v>
      </c>
      <c r="K124" cm="1">
        <f t="array" ref="K124">GammaCP(B124,6,G124,0,0,0.2)</f>
        <v>0.25295439819094856</v>
      </c>
      <c r="M124">
        <f t="shared" si="8"/>
        <v>0.88610426505736883</v>
      </c>
      <c r="V124" cm="1">
        <f t="array" ref="V124">BSCall(B124,6.5,0,0.2,G124)</f>
        <v>0.59754667682922635</v>
      </c>
      <c r="W124" cm="1">
        <f t="array" ref="W124">DeltaC(B124,6.5,G124,0,0,0.2)</f>
        <v>0.61680257936657301</v>
      </c>
      <c r="X124" cm="1">
        <f t="array" ref="X124">GammaCP(B124,6.5,G124,0,0,0.2)</f>
        <v>0.32083616719498792</v>
      </c>
      <c r="Z124">
        <f t="shared" si="6"/>
        <v>0.78842232907369114</v>
      </c>
      <c r="AA124">
        <f t="shared" si="7"/>
        <v>0.28731394081666406</v>
      </c>
      <c r="AC124">
        <f t="shared" si="9"/>
        <v>0.91416991792428981</v>
      </c>
    </row>
    <row r="125" spans="1:29" x14ac:dyDescent="0.3">
      <c r="A125" s="2">
        <v>43182</v>
      </c>
      <c r="B125">
        <v>6.67</v>
      </c>
      <c r="C125" s="5">
        <v>0.76354999999999995</v>
      </c>
      <c r="D125" s="5">
        <v>0.38919999999999999</v>
      </c>
      <c r="E125" s="7"/>
      <c r="G125">
        <f t="shared" si="5"/>
        <v>0.77534246575342469</v>
      </c>
      <c r="I125" s="8" cm="1">
        <f t="array" ref="I125">BSCall(B125,6,0,0.2,G125)</f>
        <v>0.85718305676837048</v>
      </c>
      <c r="J125" cm="1">
        <f t="array" ref="J125">DeltaC(B125,6,G125,0,0,0.2)</f>
        <v>0.75464101988159804</v>
      </c>
      <c r="K125" cm="1">
        <f t="array" ref="K125">GammaCP(B125,6,G125,0,0,0.2)</f>
        <v>0.26783850551366722</v>
      </c>
      <c r="M125">
        <f t="shared" si="8"/>
        <v>0.82885676489792459</v>
      </c>
      <c r="V125" cm="1">
        <f t="array" ref="V125">BSCall(B125,6.5,0,0.2,G125)</f>
        <v>0.5519854061875864</v>
      </c>
      <c r="W125" cm="1">
        <f t="array" ref="W125">DeltaC(B125,6.5,G125,0,0,0.2)</f>
        <v>0.5927620252153547</v>
      </c>
      <c r="X125" cm="1">
        <f t="array" ref="X125">GammaCP(B125,6.5,G125,0,0,0.2)</f>
        <v>0.33040803822016307</v>
      </c>
      <c r="Z125">
        <f t="shared" si="6"/>
        <v>0.81062950815741519</v>
      </c>
      <c r="AA125">
        <f t="shared" si="7"/>
        <v>0.27413063092688172</v>
      </c>
      <c r="AC125">
        <f t="shared" si="9"/>
        <v>0.85698716318901813</v>
      </c>
    </row>
    <row r="126" spans="1:29" x14ac:dyDescent="0.3">
      <c r="A126" s="2">
        <v>43185</v>
      </c>
      <c r="B126">
        <v>6.6239999999999997</v>
      </c>
      <c r="C126" s="5">
        <v>0.73231999999999997</v>
      </c>
      <c r="D126" s="5">
        <v>0.39527000000000001</v>
      </c>
      <c r="E126" s="7"/>
      <c r="G126">
        <f t="shared" si="5"/>
        <v>0.76712328767123283</v>
      </c>
      <c r="I126" s="8" cm="1">
        <f t="array" ref="I126">BSCall(B126,6,0,0.2,G126)</f>
        <v>0.82075534652844695</v>
      </c>
      <c r="J126" cm="1">
        <f t="array" ref="J126">DeltaC(B126,6,G126,0,0,0.2)</f>
        <v>0.74292980930172958</v>
      </c>
      <c r="K126" cm="1">
        <f t="array" ref="K126">GammaCP(B126,6,G126,0,0,0.2)</f>
        <v>0.27790891640066029</v>
      </c>
      <c r="M126">
        <f t="shared" si="8"/>
        <v>0.79414327798337092</v>
      </c>
      <c r="V126" cm="1">
        <f t="array" ref="V126">BSCall(B126,6.5,0,0.2,G126)</f>
        <v>0.52264329047541658</v>
      </c>
      <c r="W126" cm="1">
        <f t="array" ref="W126">DeltaC(B126,6.5,G126,0,0,0.2)</f>
        <v>0.57748525818869334</v>
      </c>
      <c r="X126" cm="1">
        <f t="array" ref="X126">GammaCP(B126,6.5,G126,0,0,0.2)</f>
        <v>0.33731120802948783</v>
      </c>
      <c r="Z126">
        <f t="shared" si="6"/>
        <v>0.82389469956884864</v>
      </c>
      <c r="AA126">
        <f t="shared" si="7"/>
        <v>0.26714276600091708</v>
      </c>
      <c r="AC126">
        <f t="shared" si="9"/>
        <v>0.82059156933832733</v>
      </c>
    </row>
    <row r="127" spans="1:29" x14ac:dyDescent="0.3">
      <c r="A127" s="2">
        <v>43186</v>
      </c>
      <c r="B127">
        <v>6.7560000000000002</v>
      </c>
      <c r="C127" s="5">
        <v>0.84672999999999998</v>
      </c>
      <c r="D127" s="5">
        <v>0.51056999999999997</v>
      </c>
      <c r="E127" s="7"/>
      <c r="G127">
        <f t="shared" si="5"/>
        <v>0.76438356164383559</v>
      </c>
      <c r="I127" s="8" cm="1">
        <f t="array" ref="I127">BSCall(B127,6,0,0.2,G127)</f>
        <v>0.92053742303957797</v>
      </c>
      <c r="J127" cm="1">
        <f t="array" ref="J127">DeltaC(B127,6,G127,0,0,0.2)</f>
        <v>0.7781923441649351</v>
      </c>
      <c r="K127" cm="1">
        <f t="array" ref="K127">GammaCP(B127,6,G127,0,0,0.2)</f>
        <v>0.25181883490216844</v>
      </c>
      <c r="M127">
        <f t="shared" si="8"/>
        <v>0.8922100128111996</v>
      </c>
      <c r="V127" cm="1">
        <f t="array" ref="V127">BSCall(B127,6.5,0,0.2,G127)</f>
        <v>0.60096158065283589</v>
      </c>
      <c r="W127" cm="1">
        <f t="array" ref="W127">DeltaC(B127,6.5,G127,0,0,0.2)</f>
        <v>0.62108983280761043</v>
      </c>
      <c r="X127" cm="1">
        <f t="array" ref="X127">GammaCP(B127,6.5,G127,0,0,0.2)</f>
        <v>0.32202472582987618</v>
      </c>
      <c r="Z127">
        <f t="shared" si="6"/>
        <v>0.78198602375397375</v>
      </c>
      <c r="AA127">
        <f t="shared" si="7"/>
        <v>0.29250877541369147</v>
      </c>
      <c r="AC127">
        <f t="shared" si="9"/>
        <v>0.92038043860691932</v>
      </c>
    </row>
    <row r="128" spans="1:29" x14ac:dyDescent="0.3">
      <c r="A128" s="2">
        <v>43187</v>
      </c>
      <c r="B128">
        <v>6.6859999999999999</v>
      </c>
      <c r="C128" s="5">
        <v>0.78752</v>
      </c>
      <c r="D128" s="5">
        <v>0.46029999999999999</v>
      </c>
      <c r="E128" s="7"/>
      <c r="G128">
        <f t="shared" si="5"/>
        <v>0.76164383561643834</v>
      </c>
      <c r="I128" s="8" cm="1">
        <f t="array" ref="I128">BSCall(B128,6,0,0.2,G128)</f>
        <v>0.8660408001455826</v>
      </c>
      <c r="J128" cm="1">
        <f t="array" ref="J128">DeltaC(B128,6,G128,0,0,0.2)</f>
        <v>0.76037035079455362</v>
      </c>
      <c r="K128" cm="1">
        <f t="array" ref="K128">GammaCP(B128,6,G128,0,0,0.2)</f>
        <v>0.26616138490455588</v>
      </c>
      <c r="M128">
        <f t="shared" si="8"/>
        <v>0.83773654871965397</v>
      </c>
      <c r="V128" cm="1">
        <f t="array" ref="V128">BSCall(B128,6.5,0,0.2,G128)</f>
        <v>0.55747052743471537</v>
      </c>
      <c r="W128" cm="1">
        <f t="array" ref="W128">DeltaC(B128,6.5,G128,0,0,0.2)</f>
        <v>0.59828621168642726</v>
      </c>
      <c r="X128" cm="1">
        <f t="array" ref="X128">GammaCP(B128,6.5,G128,0,0,0.2)</f>
        <v>0.3314238227726784</v>
      </c>
      <c r="Z128">
        <f t="shared" si="6"/>
        <v>0.80308465057780221</v>
      </c>
      <c r="AA128">
        <f t="shared" si="7"/>
        <v>0.2798958775368422</v>
      </c>
      <c r="AC128">
        <f t="shared" si="9"/>
        <v>0.86589542855305024</v>
      </c>
    </row>
    <row r="129" spans="1:29" x14ac:dyDescent="0.3">
      <c r="A129" s="2">
        <v>43188</v>
      </c>
      <c r="B129">
        <v>6.6580000000000004</v>
      </c>
      <c r="C129" s="5">
        <v>0.76644999999999996</v>
      </c>
      <c r="D129" s="5">
        <v>0.45462000000000002</v>
      </c>
      <c r="E129" s="7"/>
      <c r="G129">
        <f t="shared" si="5"/>
        <v>0.75890410958904109</v>
      </c>
      <c r="I129" s="8" cm="1">
        <f t="array" ref="I129">BSCall(B129,6,0,0.2,G129)</f>
        <v>0.8441949457318545</v>
      </c>
      <c r="J129" cm="1">
        <f t="array" ref="J129">DeltaC(B129,6,G129,0,0,0.2)</f>
        <v>0.75312890847049396</v>
      </c>
      <c r="K129" cm="1">
        <f t="array" ref="K129">GammaCP(B129,6,G129,0,0,0.2)</f>
        <v>0.27210689225271634</v>
      </c>
      <c r="M129">
        <f t="shared" si="8"/>
        <v>0.81644617889740678</v>
      </c>
      <c r="V129" cm="1">
        <f t="array" ref="V129">BSCall(B129,6.5,0,0.2,G129)</f>
        <v>0.54003511643619717</v>
      </c>
      <c r="W129" cm="1">
        <f t="array" ref="W129">DeltaC(B129,6.5,G129,0,0,0.2)</f>
        <v>0.58899528953016822</v>
      </c>
      <c r="X129" cm="1">
        <f t="array" ref="X129">GammaCP(B129,6.5,G129,0,0,0.2)</f>
        <v>0.33531542672395859</v>
      </c>
      <c r="Z129">
        <f t="shared" si="6"/>
        <v>0.81149529835596457</v>
      </c>
      <c r="AA129">
        <f t="shared" si="7"/>
        <v>0.27516200026295234</v>
      </c>
      <c r="AC129">
        <f t="shared" si="9"/>
        <v>0.84405623303259336</v>
      </c>
    </row>
    <row r="130" spans="1:29" x14ac:dyDescent="0.3">
      <c r="A130" s="2">
        <v>43193</v>
      </c>
      <c r="B130">
        <v>6.65</v>
      </c>
      <c r="C130" s="5">
        <v>0.76051000000000002</v>
      </c>
      <c r="D130" s="5">
        <v>0.46112999999999998</v>
      </c>
      <c r="E130" s="7"/>
      <c r="G130">
        <f t="shared" si="5"/>
        <v>0.74520547945205484</v>
      </c>
      <c r="I130" s="8" cm="1">
        <f t="array" ref="I130">BSCall(B130,6,0,0.2,G130)</f>
        <v>0.83485243714502388</v>
      </c>
      <c r="J130" cm="1">
        <f t="array" ref="J130">DeltaC(B130,6,G130,0,0,0.2)</f>
        <v>0.75240580681565916</v>
      </c>
      <c r="K130" cm="1">
        <f t="array" ref="K130">GammaCP(B130,6,G130,0,0,0.2)</f>
        <v>0.27535712887733865</v>
      </c>
      <c r="M130">
        <f t="shared" si="8"/>
        <v>0.81042114762964279</v>
      </c>
      <c r="V130" cm="1">
        <f t="array" ref="V130">BSCall(B130,6.5,0,0.2,G130)</f>
        <v>0.53124181522421798</v>
      </c>
      <c r="W130" cm="1">
        <f t="array" ref="W130">DeltaC(B130,6.5,G130,0,0,0.2)</f>
        <v>0.58646812290549244</v>
      </c>
      <c r="X130" cm="1">
        <f t="array" ref="X130">GammaCP(B130,6.5,G130,0,0,0.2)</f>
        <v>0.33927843341463643</v>
      </c>
      <c r="Z130">
        <f t="shared" si="6"/>
        <v>0.81159632254261582</v>
      </c>
      <c r="AA130">
        <f t="shared" si="7"/>
        <v>0.27643043497709069</v>
      </c>
      <c r="AC130">
        <f t="shared" si="9"/>
        <v>0.83471921443994079</v>
      </c>
    </row>
    <row r="131" spans="1:29" x14ac:dyDescent="0.3">
      <c r="A131" s="2">
        <v>43194</v>
      </c>
      <c r="B131">
        <v>6.4340000000000002</v>
      </c>
      <c r="C131" s="5">
        <v>0.59863</v>
      </c>
      <c r="D131" s="5">
        <v>0.35425000000000001</v>
      </c>
      <c r="E131" s="7"/>
      <c r="G131">
        <f t="shared" si="5"/>
        <v>0.74246575342465748</v>
      </c>
      <c r="I131" s="8" cm="1">
        <f t="array" ref="I131">BSCall(B131,6,0,0.2,G131)</f>
        <v>0.67837405869247114</v>
      </c>
      <c r="J131" cm="1">
        <f t="array" ref="J131">DeltaC(B131,6,G131,0,0,0.2)</f>
        <v>0.68843208556927515</v>
      </c>
      <c r="K131" cm="1">
        <f t="array" ref="K131">GammaCP(B131,6,G131,0,0,0.2)</f>
        <v>0.31887690170948346</v>
      </c>
      <c r="M131">
        <f t="shared" si="8"/>
        <v>0.64790149335746028</v>
      </c>
      <c r="V131" cm="1">
        <f t="array" ref="V131">BSCall(B131,6.5,0,0.2,G131)</f>
        <v>0.41183891895041169</v>
      </c>
      <c r="W131" cm="1">
        <f t="array" ref="W131">DeltaC(B131,6.5,G131,0,0,0.2)</f>
        <v>0.51074833071691972</v>
      </c>
      <c r="X131" cm="1">
        <f t="array" ref="X131">GammaCP(B131,6.5,G131,0,0,0.2)</f>
        <v>0.3596691101615932</v>
      </c>
      <c r="Z131">
        <f t="shared" si="6"/>
        <v>0.88658406490959851</v>
      </c>
      <c r="AA131">
        <f t="shared" si="7"/>
        <v>0.23561075437647649</v>
      </c>
      <c r="AC131">
        <f t="shared" si="9"/>
        <v>0.67810328896813066</v>
      </c>
    </row>
    <row r="132" spans="1:29" x14ac:dyDescent="0.3">
      <c r="A132" s="2">
        <v>43195</v>
      </c>
      <c r="B132">
        <v>6.65</v>
      </c>
      <c r="C132" s="5">
        <v>0.78752999999999995</v>
      </c>
      <c r="D132" s="5">
        <v>0.52958000000000005</v>
      </c>
      <c r="E132" s="7"/>
      <c r="G132">
        <f t="shared" si="5"/>
        <v>0.73972602739726023</v>
      </c>
      <c r="I132" s="8" cm="1">
        <f t="array" ref="I132">BSCall(B132,6,0,0.2,G132)</f>
        <v>0.83351636979704224</v>
      </c>
      <c r="J132" cm="1">
        <f t="array" ref="J132">DeltaC(B132,6,G132,0,0,0.2)</f>
        <v>0.7530011890070164</v>
      </c>
      <c r="K132" cm="1">
        <f t="array" ref="K132">GammaCP(B132,6,G132,0,0,0.2)</f>
        <v>0.27601958532189863</v>
      </c>
      <c r="M132">
        <f t="shared" si="8"/>
        <v>0.79660282384042391</v>
      </c>
      <c r="V132" cm="1">
        <f t="array" ref="V132">BSCall(B132,6.5,0,0.2,G132)</f>
        <v>0.52959456660387438</v>
      </c>
      <c r="W132" cm="1">
        <f t="array" ref="W132">DeltaC(B132,6.5,G132,0,0,0.2)</f>
        <v>0.58653456068143539</v>
      </c>
      <c r="X132" cm="1">
        <f t="array" ref="X132">GammaCP(B132,6.5,G132,0,0,0.2)</f>
        <v>0.34052000810160044</v>
      </c>
      <c r="Z132">
        <f t="shared" si="6"/>
        <v>0.81058257592764738</v>
      </c>
      <c r="AA132">
        <f t="shared" si="7"/>
        <v>0.27756649393926752</v>
      </c>
      <c r="AC132">
        <f t="shared" si="9"/>
        <v>0.83339549267611901</v>
      </c>
    </row>
    <row r="133" spans="1:29" x14ac:dyDescent="0.3">
      <c r="A133" s="2">
        <v>43196</v>
      </c>
      <c r="B133">
        <v>6.556</v>
      </c>
      <c r="C133" s="5">
        <v>0.71136999999999995</v>
      </c>
      <c r="D133" s="5">
        <v>0.46823999999999999</v>
      </c>
      <c r="E133" s="7"/>
      <c r="G133">
        <f t="shared" ref="G133:G196" si="10">(E$4-A133)/365</f>
        <v>0.73698630136986298</v>
      </c>
      <c r="I133" s="8" cm="1">
        <f t="array" ref="I133">BSCall(B133,6,0,0.2,G133)</f>
        <v>0.76328632198489821</v>
      </c>
      <c r="J133" cm="1">
        <f t="array" ref="J133">DeltaC(B133,6,G133,0,0,0.2)</f>
        <v>0.7264130059569015</v>
      </c>
      <c r="K133" cm="1">
        <f t="array" ref="K133">GammaCP(B133,6,G133,0,0,0.2)</f>
        <v>0.29567617417224751</v>
      </c>
      <c r="M133">
        <f t="shared" si="8"/>
        <v>0.72582071207376408</v>
      </c>
      <c r="V133" cm="1">
        <f t="array" ref="V133">BSCall(B133,6.5,0,0.2,G133)</f>
        <v>0.47515389302474009</v>
      </c>
      <c r="W133" cm="1">
        <f t="array" ref="W133">DeltaC(B133,6.5,G133,0,0,0.2)</f>
        <v>0.55401472163313703</v>
      </c>
      <c r="X133" cm="1">
        <f t="array" ref="X133">GammaCP(B133,6.5,G133,0,0,0.2)</f>
        <v>0.35116094345124405</v>
      </c>
      <c r="Z133">
        <f t="shared" ref="Z133:Z196" si="11">K133/X133</f>
        <v>0.84199618347733429</v>
      </c>
      <c r="AA133">
        <f t="shared" ref="AA133:AA196" si="12">J133-W133*Z133</f>
        <v>0.25993472475154239</v>
      </c>
      <c r="AC133">
        <f t="shared" si="9"/>
        <v>0.76317558082081682</v>
      </c>
    </row>
    <row r="134" spans="1:29" x14ac:dyDescent="0.3">
      <c r="A134" s="2">
        <v>43199</v>
      </c>
      <c r="B134">
        <v>6.6520000000000001</v>
      </c>
      <c r="C134" s="5">
        <v>0.78757999999999995</v>
      </c>
      <c r="D134" s="5">
        <v>0.53612000000000004</v>
      </c>
      <c r="E134" s="7"/>
      <c r="G134">
        <f t="shared" si="10"/>
        <v>0.72876712328767124</v>
      </c>
      <c r="I134" s="8" cm="1">
        <f t="array" ref="I134">BSCall(B134,6,0,0.2,G134)</f>
        <v>0.83234353647333137</v>
      </c>
      <c r="J134" cm="1">
        <f t="array" ref="J134">DeltaC(B134,6,G134,0,0,0.2)</f>
        <v>0.75476621880743477</v>
      </c>
      <c r="K134" cm="1">
        <f t="array" ref="K134">GammaCP(B134,6,G134,0,0,0.2)</f>
        <v>0.27693627672591492</v>
      </c>
      <c r="M134">
        <f t="shared" ref="M134:M197" si="13">M133+J133*(B134-B133)</f>
        <v>0.79555636064562674</v>
      </c>
      <c r="V134" cm="1">
        <f t="array" ref="V134">BSCall(B134,6.5,0,0.2,G134)</f>
        <v>0.52745588412408617</v>
      </c>
      <c r="W134" cm="1">
        <f t="array" ref="W134">DeltaC(B134,6.5,G134,0,0,0.2)</f>
        <v>0.58735831542827532</v>
      </c>
      <c r="X134" cm="1">
        <f t="array" ref="X134">GammaCP(B134,6.5,G134,0,0,0.2)</f>
        <v>0.34280825965556272</v>
      </c>
      <c r="Z134">
        <f t="shared" si="11"/>
        <v>0.80784598657035622</v>
      </c>
      <c r="AA134">
        <f t="shared" si="12"/>
        <v>0.28027116100997723</v>
      </c>
      <c r="AC134">
        <f t="shared" ref="AC134:AC197" si="14">AC133+AA133*(B134-B133)+Z133*(V134-V133)</f>
        <v>0.8321673912908798</v>
      </c>
    </row>
    <row r="135" spans="1:29" x14ac:dyDescent="0.3">
      <c r="A135" s="2">
        <v>43200</v>
      </c>
      <c r="B135">
        <v>6.6980000000000004</v>
      </c>
      <c r="C135" s="5">
        <v>0.81791000000000003</v>
      </c>
      <c r="D135" s="5">
        <v>0.55149000000000004</v>
      </c>
      <c r="E135" s="7"/>
      <c r="G135">
        <f t="shared" si="10"/>
        <v>0.72602739726027399</v>
      </c>
      <c r="I135" s="8" cm="1">
        <f t="array" ref="I135">BSCall(B135,6,0,0.2,G135)</f>
        <v>0.86669499703590258</v>
      </c>
      <c r="J135" cm="1">
        <f t="array" ref="J135">DeltaC(B135,6,G135,0,0,0.2)</f>
        <v>0.7676051659127936</v>
      </c>
      <c r="K135" cm="1">
        <f t="array" ref="K135">GammaCP(B135,6,G135,0,0,0.2)</f>
        <v>0.26756473358708438</v>
      </c>
      <c r="M135">
        <f t="shared" si="13"/>
        <v>0.83027560671076894</v>
      </c>
      <c r="V135" cm="1">
        <f t="array" ref="V135">BSCall(B135,6.5,0,0.2,G135)</f>
        <v>0.55400551677802357</v>
      </c>
      <c r="W135" cm="1">
        <f t="array" ref="W135">DeltaC(B135,6.5,G135,0,0,0.2)</f>
        <v>0.60306498482254067</v>
      </c>
      <c r="X135" cm="1">
        <f t="array" ref="X135">GammaCP(B135,6.5,G135,0,0,0.2)</f>
        <v>0.33777959810851776</v>
      </c>
      <c r="Z135">
        <f t="shared" si="11"/>
        <v>0.79212816607450753</v>
      </c>
      <c r="AA135">
        <f t="shared" si="12"/>
        <v>0.28990040546156376</v>
      </c>
      <c r="AC135">
        <f t="shared" si="14"/>
        <v>0.86650787888173941</v>
      </c>
    </row>
    <row r="136" spans="1:29" x14ac:dyDescent="0.3">
      <c r="A136" s="2">
        <v>43201</v>
      </c>
      <c r="B136">
        <v>6.5679999999999996</v>
      </c>
      <c r="C136" s="5">
        <v>0.70857000000000003</v>
      </c>
      <c r="D136" s="5">
        <v>0.45584999999999998</v>
      </c>
      <c r="E136" s="7"/>
      <c r="G136">
        <f t="shared" si="10"/>
        <v>0.72328767123287674</v>
      </c>
      <c r="I136" s="8" cm="1">
        <f t="array" ref="I136">BSCall(B136,6,0,0.2,G136)</f>
        <v>0.76854702025490429</v>
      </c>
      <c r="J136" cm="1">
        <f t="array" ref="J136">DeltaC(B136,6,G136,0,0,0.2)</f>
        <v>0.73132155054027137</v>
      </c>
      <c r="K136" cm="1">
        <f t="array" ref="K136">GammaCP(B136,6,G136,0,0,0.2)</f>
        <v>0.29524017330766034</v>
      </c>
      <c r="M136">
        <f t="shared" si="13"/>
        <v>0.73048693514210516</v>
      </c>
      <c r="V136" cm="1">
        <f t="array" ref="V136">BSCall(B136,6.5,0,0.2,G136)</f>
        <v>0.47767135667264116</v>
      </c>
      <c r="W136" cm="1">
        <f t="array" ref="W136">DeltaC(B136,6.5,G136,0,0,0.2)</f>
        <v>0.55813078818882556</v>
      </c>
      <c r="X136" cm="1">
        <f t="array" ref="X136">GammaCP(B136,6.5,G136,0,0,0.2)</f>
        <v>0.35330352988782443</v>
      </c>
      <c r="Z136">
        <f t="shared" si="11"/>
        <v>0.83565588320445172</v>
      </c>
      <c r="AA136">
        <f t="shared" si="12"/>
        <v>0.26491627379274157</v>
      </c>
      <c r="AC136">
        <f t="shared" si="14"/>
        <v>0.76835438791862154</v>
      </c>
    </row>
    <row r="137" spans="1:29" x14ac:dyDescent="0.3">
      <c r="A137" s="2">
        <v>43202</v>
      </c>
      <c r="B137">
        <v>6.6959999999999997</v>
      </c>
      <c r="C137" s="5">
        <v>0.81393000000000004</v>
      </c>
      <c r="D137" s="5">
        <v>0.54700000000000004</v>
      </c>
      <c r="E137" s="7"/>
      <c r="G137">
        <f t="shared" si="10"/>
        <v>0.72054794520547949</v>
      </c>
      <c r="I137" s="8" cm="1">
        <f t="array" ref="I137">BSCall(B137,6,0,0.2,G137)</f>
        <v>0.86384207085347331</v>
      </c>
      <c r="J137" cm="1">
        <f t="array" ref="J137">DeltaC(B137,6,G137,0,0,0.2)</f>
        <v>0.76771800913148092</v>
      </c>
      <c r="K137" cm="1">
        <f t="array" ref="K137">GammaCP(B137,6,G137,0,0,0.2)</f>
        <v>0.2685878044932673</v>
      </c>
      <c r="M137">
        <f t="shared" si="13"/>
        <v>0.82409609361126002</v>
      </c>
      <c r="V137" cm="1">
        <f t="array" ref="V137">BSCall(B137,6.5,0,0.2,G137)</f>
        <v>0.55113602934877637</v>
      </c>
      <c r="W137" cm="1">
        <f t="array" ref="W137">DeltaC(B137,6.5,G137,0,0,0.2)</f>
        <v>0.60252009910631776</v>
      </c>
      <c r="X137" cm="1">
        <f t="array" ref="X137">GammaCP(B137,6.5,G137,0,0,0.2)</f>
        <v>0.33928767457978931</v>
      </c>
      <c r="Z137">
        <f t="shared" si="11"/>
        <v>0.79162263947818201</v>
      </c>
      <c r="AA137">
        <f t="shared" si="12"/>
        <v>0.29074945793828183</v>
      </c>
      <c r="AC137">
        <f t="shared" si="14"/>
        <v>0.86365485689359422</v>
      </c>
    </row>
    <row r="138" spans="1:29" x14ac:dyDescent="0.3">
      <c r="A138" s="2">
        <v>43203</v>
      </c>
      <c r="B138">
        <v>6.6479999999999997</v>
      </c>
      <c r="C138" s="5">
        <v>0.76953000000000005</v>
      </c>
      <c r="D138" s="5">
        <v>0.50022</v>
      </c>
      <c r="E138" s="7"/>
      <c r="G138">
        <f t="shared" si="10"/>
        <v>0.71780821917808224</v>
      </c>
      <c r="I138" s="8" cm="1">
        <f t="array" ref="I138">BSCall(B138,6,0,0.2,G138)</f>
        <v>0.82662937985080642</v>
      </c>
      <c r="J138" cm="1">
        <f t="array" ref="J138">DeltaC(B138,6,G138,0,0,0.2)</f>
        <v>0.75489220893028619</v>
      </c>
      <c r="K138" cm="1">
        <f t="array" ref="K138">GammaCP(B138,6,G138,0,0,0.2)</f>
        <v>0.27913303592878863</v>
      </c>
      <c r="M138">
        <f t="shared" si="13"/>
        <v>0.78724562917294894</v>
      </c>
      <c r="V138" cm="1">
        <f t="array" ref="V138">BSCall(B138,6.5,0,0.2,G138)</f>
        <v>0.52177145932536373</v>
      </c>
      <c r="W138" cm="1">
        <f t="array" ref="W138">DeltaC(B138,6.5,G138,0,0,0.2)</f>
        <v>0.5861258145002074</v>
      </c>
      <c r="X138" cm="1">
        <f t="array" ref="X138">GammaCP(B138,6.5,G138,0,0,0.2)</f>
        <v>0.34586283440041443</v>
      </c>
      <c r="Z138">
        <f t="shared" si="11"/>
        <v>0.80706282423404019</v>
      </c>
      <c r="AA138">
        <f t="shared" si="12"/>
        <v>0.28185185372327165</v>
      </c>
      <c r="AC138">
        <f t="shared" si="14"/>
        <v>0.82645322448348091</v>
      </c>
    </row>
    <row r="139" spans="1:29" x14ac:dyDescent="0.3">
      <c r="A139" s="2">
        <v>43206</v>
      </c>
      <c r="B139">
        <v>6.6440000000000001</v>
      </c>
      <c r="C139" s="5">
        <v>0.76305000000000001</v>
      </c>
      <c r="D139" s="5">
        <v>0.49387999999999999</v>
      </c>
      <c r="E139" s="7"/>
      <c r="G139">
        <f t="shared" si="10"/>
        <v>0.70958904109589038</v>
      </c>
      <c r="I139" s="8" cm="1">
        <f t="array" ref="I139">BSCall(B139,6,0,0.2,G139)</f>
        <v>0.82157661968320639</v>
      </c>
      <c r="J139" cm="1">
        <f t="array" ref="J139">DeltaC(B139,6,G139,0,0,0.2)</f>
        <v>0.75471491489999387</v>
      </c>
      <c r="K139" cm="1">
        <f t="array" ref="K139">GammaCP(B139,6,G139,0,0,0.2)</f>
        <v>0.28102324371690462</v>
      </c>
      <c r="M139">
        <f t="shared" si="13"/>
        <v>0.78422606033722808</v>
      </c>
      <c r="V139" cm="1">
        <f t="array" ref="V139">BSCall(B139,6.5,0,0.2,G139)</f>
        <v>0.51690942345511681</v>
      </c>
      <c r="W139" cm="1">
        <f t="array" ref="W139">DeltaC(B139,6.5,G139,0,0,0.2)</f>
        <v>0.58484291117253284</v>
      </c>
      <c r="X139" cm="1">
        <f t="array" ref="X139">GammaCP(B139,6.5,G139,0,0,0.2)</f>
        <v>0.34831706058275869</v>
      </c>
      <c r="Z139">
        <f t="shared" si="11"/>
        <v>0.80680298359986491</v>
      </c>
      <c r="AA139">
        <f t="shared" si="12"/>
        <v>0.28286190922876359</v>
      </c>
      <c r="AC139">
        <f t="shared" si="14"/>
        <v>0.82140184866761934</v>
      </c>
    </row>
    <row r="140" spans="1:29" x14ac:dyDescent="0.3">
      <c r="A140" s="2">
        <v>43207</v>
      </c>
      <c r="B140">
        <v>6.6340000000000003</v>
      </c>
      <c r="C140" s="5">
        <v>0.75324000000000002</v>
      </c>
      <c r="D140" s="5">
        <v>0.48663000000000001</v>
      </c>
      <c r="E140" s="7"/>
      <c r="G140">
        <f t="shared" si="10"/>
        <v>0.70684931506849313</v>
      </c>
      <c r="I140" s="8" cm="1">
        <f t="array" ref="I140">BSCall(B140,6,0,0.2,G140)</f>
        <v>0.81336024836147747</v>
      </c>
      <c r="J140" cm="1">
        <f t="array" ref="J140">DeltaC(B140,6,G140,0,0,0.2)</f>
        <v>0.75220764065034595</v>
      </c>
      <c r="K140" cm="1">
        <f t="array" ref="K140">GammaCP(B140,6,G140,0,0,0.2)</f>
        <v>0.28353237516550339</v>
      </c>
      <c r="M140">
        <f t="shared" si="13"/>
        <v>0.77667891118822829</v>
      </c>
      <c r="V140" cm="1">
        <f t="array" ref="V140">BSCall(B140,6.5,0,0.2,G140)</f>
        <v>0.51023480714236369</v>
      </c>
      <c r="W140" cm="1">
        <f t="array" ref="W140">DeltaC(B140,6.5,G140,0,0,0.2)</f>
        <v>0.58138183915644248</v>
      </c>
      <c r="X140" cm="1">
        <f t="array" ref="X140">GammaCP(B140,6.5,G140,0,0,0.2)</f>
        <v>0.35016865012130077</v>
      </c>
      <c r="Z140">
        <f t="shared" si="11"/>
        <v>0.80970233933644797</v>
      </c>
      <c r="AA140">
        <f t="shared" si="12"/>
        <v>0.28146140543764797</v>
      </c>
      <c r="AC140">
        <f t="shared" si="14"/>
        <v>0.8131881292198182</v>
      </c>
    </row>
    <row r="141" spans="1:29" x14ac:dyDescent="0.3">
      <c r="A141" s="2">
        <v>43208</v>
      </c>
      <c r="B141">
        <v>6.5880000000000001</v>
      </c>
      <c r="C141" s="5">
        <v>0.7167</v>
      </c>
      <c r="D141" s="5">
        <v>0.46139000000000002</v>
      </c>
      <c r="E141" s="7"/>
      <c r="G141">
        <f t="shared" si="10"/>
        <v>0.70410958904109588</v>
      </c>
      <c r="I141" s="8" cm="1">
        <f t="array" ref="I141">BSCall(B141,6,0,0.2,G141)</f>
        <v>0.77836387795962025</v>
      </c>
      <c r="J141" cm="1">
        <f t="array" ref="J141">DeltaC(B141,6,G141,0,0,0.2)</f>
        <v>0.73923542112738139</v>
      </c>
      <c r="K141" cm="1">
        <f t="array" ref="K141">GammaCP(B141,6,G141,0,0,0.2)</f>
        <v>0.29382412327188839</v>
      </c>
      <c r="M141">
        <f t="shared" si="13"/>
        <v>0.74207735971831212</v>
      </c>
      <c r="V141" cm="1">
        <f t="array" ref="V141">BSCall(B141,6.5,0,0.2,G141)</f>
        <v>0.48301774677657194</v>
      </c>
      <c r="W141" cm="1">
        <f t="array" ref="W141">DeltaC(B141,6.5,G141,0,0,0.2)</f>
        <v>0.56515070773849319</v>
      </c>
      <c r="X141" cm="1">
        <f t="array" ref="X141">GammaCP(B141,6.5,G141,0,0,0.2)</f>
        <v>0.35601066789643271</v>
      </c>
      <c r="Z141">
        <f t="shared" si="11"/>
        <v>0.82532392921822484</v>
      </c>
      <c r="AA141">
        <f t="shared" si="12"/>
        <v>0.27280301841618754</v>
      </c>
      <c r="AC141">
        <f t="shared" si="14"/>
        <v>0.77820318712164338</v>
      </c>
    </row>
    <row r="142" spans="1:29" x14ac:dyDescent="0.3">
      <c r="A142" s="2">
        <v>43209</v>
      </c>
      <c r="B142">
        <v>6.66</v>
      </c>
      <c r="C142" s="5">
        <v>0.77669999999999995</v>
      </c>
      <c r="D142" s="5">
        <v>0.51439999999999997</v>
      </c>
      <c r="E142" s="7"/>
      <c r="G142">
        <f t="shared" si="10"/>
        <v>0.70136986301369864</v>
      </c>
      <c r="I142" s="8" cm="1">
        <f t="array" ref="I142">BSCall(B142,6,0,0.2,G142)</f>
        <v>0.83166033487449109</v>
      </c>
      <c r="J142" cm="1">
        <f t="array" ref="J142">DeltaC(B142,6,G142,0,0,0.2)</f>
        <v>0.76015736506252485</v>
      </c>
      <c r="K142" cm="1">
        <f t="array" ref="K142">GammaCP(B142,6,G142,0,0,0.2)</f>
        <v>0.27858013286985994</v>
      </c>
      <c r="M142">
        <f t="shared" si="13"/>
        <v>0.7953023100394836</v>
      </c>
      <c r="V142" cm="1">
        <f t="array" ref="V142">BSCall(B142,6.5,0,0.2,G142)</f>
        <v>0.52377856195749661</v>
      </c>
      <c r="W142" cm="1">
        <f t="array" ref="W142">DeltaC(B142,6.5,G142,0,0,0.2)</f>
        <v>0.59053816343836552</v>
      </c>
      <c r="X142" cm="1">
        <f t="array" ref="X142">GammaCP(B142,6.5,G142,0,0,0.2)</f>
        <v>0.3483789272776544</v>
      </c>
      <c r="Z142">
        <f t="shared" si="11"/>
        <v>0.79964691046836611</v>
      </c>
      <c r="AA142">
        <f t="shared" si="12"/>
        <v>0.28793534715537283</v>
      </c>
      <c r="AC142">
        <f t="shared" si="14"/>
        <v>0.83148588059086748</v>
      </c>
    </row>
    <row r="143" spans="1:29" x14ac:dyDescent="0.3">
      <c r="A143" s="2">
        <v>43210</v>
      </c>
      <c r="B143">
        <v>6.5919999999999996</v>
      </c>
      <c r="C143" s="5">
        <v>0.72031000000000001</v>
      </c>
      <c r="D143" s="5">
        <v>0.46649000000000002</v>
      </c>
      <c r="E143" s="7"/>
      <c r="G143">
        <f t="shared" si="10"/>
        <v>0.69863013698630139</v>
      </c>
      <c r="I143" s="8" cm="1">
        <f t="array" ref="I143">BSCall(B143,6,0,0.2,G143)</f>
        <v>0.77992615032712997</v>
      </c>
      <c r="J143" cm="1">
        <f t="array" ref="J143">DeltaC(B143,6,G143,0,0,0.2)</f>
        <v>0.74101385144828136</v>
      </c>
      <c r="K143" cm="1">
        <f t="array" ref="K143">GammaCP(B143,6,G143,0,0,0.2)</f>
        <v>0.29375624382294646</v>
      </c>
      <c r="M143">
        <f t="shared" si="13"/>
        <v>0.74361160921523151</v>
      </c>
      <c r="V143" cm="1">
        <f t="array" ref="V143">BSCall(B143,6.5,0,0.2,G143)</f>
        <v>0.4835845639091656</v>
      </c>
      <c r="W143" cm="1">
        <f t="array" ref="W143">DeltaC(B143,6.5,G143,0,0,0.2)</f>
        <v>0.56657414362306369</v>
      </c>
      <c r="X143" cm="1">
        <f t="array" ref="X143">GammaCP(B143,6.5,G143,0,0,0.2)</f>
        <v>0.35697295898327264</v>
      </c>
      <c r="Z143">
        <f t="shared" si="11"/>
        <v>0.82290895271064934</v>
      </c>
      <c r="AA143">
        <f t="shared" si="12"/>
        <v>0.27477491628649298</v>
      </c>
      <c r="AC143">
        <f t="shared" si="14"/>
        <v>0.77976527062558254</v>
      </c>
    </row>
    <row r="144" spans="1:29" x14ac:dyDescent="0.3">
      <c r="A144" s="2">
        <v>43213</v>
      </c>
      <c r="B144">
        <v>6.67</v>
      </c>
      <c r="C144" s="5">
        <v>0.78349999999999997</v>
      </c>
      <c r="D144" s="5">
        <v>0.51941000000000004</v>
      </c>
      <c r="E144" s="7"/>
      <c r="G144">
        <f t="shared" si="10"/>
        <v>0.69041095890410964</v>
      </c>
      <c r="I144" s="8" cm="1">
        <f t="array" ref="I144">BSCall(B144,6,0,0.2,G144)</f>
        <v>0.83657425053950618</v>
      </c>
      <c r="J144" cm="1">
        <f t="array" ref="J144">DeltaC(B144,6,G144,0,0,0.2)</f>
        <v>0.76427012440726572</v>
      </c>
      <c r="K144" cm="1">
        <f t="array" ref="K144">GammaCP(B144,6,G144,0,0,0.2)</f>
        <v>0.27771422748502533</v>
      </c>
      <c r="M144">
        <f t="shared" si="13"/>
        <v>0.80141068962819761</v>
      </c>
      <c r="V144" cm="1">
        <f t="array" ref="V144">BSCall(B144,6.5,0,0.2,G144)</f>
        <v>0.52630337870609134</v>
      </c>
      <c r="W144" cm="1">
        <f t="array" ref="W144">DeltaC(B144,6.5,G144,0,0,0.2)</f>
        <v>0.59423352921221972</v>
      </c>
      <c r="X144" cm="1">
        <f t="array" ref="X144">GammaCP(B144,6.5,G144,0,0,0.2)</f>
        <v>0.34982743552717582</v>
      </c>
      <c r="Z144">
        <f t="shared" si="11"/>
        <v>0.79386062750201736</v>
      </c>
      <c r="AA144">
        <f t="shared" si="12"/>
        <v>0.29253152202411459</v>
      </c>
      <c r="AC144">
        <f t="shared" si="14"/>
        <v>0.83635140924150742</v>
      </c>
    </row>
    <row r="145" spans="1:29" x14ac:dyDescent="0.3">
      <c r="A145" s="2">
        <v>43214</v>
      </c>
      <c r="B145">
        <v>6.74</v>
      </c>
      <c r="C145" s="5">
        <v>0.83630000000000004</v>
      </c>
      <c r="D145" s="5">
        <v>0.55052999999999996</v>
      </c>
      <c r="E145" s="7"/>
      <c r="G145">
        <f t="shared" si="10"/>
        <v>0.68767123287671228</v>
      </c>
      <c r="I145" s="8" cm="1">
        <f t="array" ref="I145">BSCall(B145,6,0,0.2,G145)</f>
        <v>0.89008796594564021</v>
      </c>
      <c r="J145" cm="1">
        <f t="array" ref="J145">DeltaC(B145,6,G145,0,0,0.2)</f>
        <v>0.78352593299905771</v>
      </c>
      <c r="K145" cm="1">
        <f t="array" ref="K145">GammaCP(B145,6,G145,0,0,0.2)</f>
        <v>0.26242518421652955</v>
      </c>
      <c r="M145">
        <f t="shared" si="13"/>
        <v>0.85490959833670643</v>
      </c>
      <c r="V145" cm="1">
        <f t="array" ref="V145">BSCall(B145,6.5,0,0.2,G145)</f>
        <v>0.5679012266596839</v>
      </c>
      <c r="W145" cm="1">
        <f t="array" ref="W145">DeltaC(B145,6.5,G145,0,0,0.2)</f>
        <v>0.61849906913076136</v>
      </c>
      <c r="X145" cm="1">
        <f t="array" ref="X145">GammaCP(B145,6.5,G145,0,0,0.2)</f>
        <v>0.3410241862700224</v>
      </c>
      <c r="Z145">
        <f t="shared" si="11"/>
        <v>0.76952074011765759</v>
      </c>
      <c r="AA145">
        <f t="shared" si="12"/>
        <v>0.30757807155947198</v>
      </c>
      <c r="AC145">
        <f t="shared" si="14"/>
        <v>0.88985150946236802</v>
      </c>
    </row>
    <row r="146" spans="1:29" x14ac:dyDescent="0.3">
      <c r="A146" s="2">
        <v>43215</v>
      </c>
      <c r="B146">
        <v>6.6580000000000004</v>
      </c>
      <c r="C146" s="5">
        <v>0.76322000000000001</v>
      </c>
      <c r="D146" s="5">
        <v>0.47638999999999998</v>
      </c>
      <c r="E146" s="7"/>
      <c r="G146">
        <f t="shared" si="10"/>
        <v>0.68493150684931503</v>
      </c>
      <c r="I146" s="8" cm="1">
        <f t="array" ref="I146">BSCall(B146,6,0,0.2,G146)</f>
        <v>0.82605933796553366</v>
      </c>
      <c r="J146" cm="1">
        <f t="array" ref="J146">DeltaC(B146,6,G146,0,0,0.2)</f>
        <v>0.76159402831397716</v>
      </c>
      <c r="K146" cm="1">
        <f t="array" ref="K146">GammaCP(B146,6,G146,0,0,0.2)</f>
        <v>0.28106351404095814</v>
      </c>
      <c r="M146">
        <f t="shared" si="13"/>
        <v>0.79066047183078381</v>
      </c>
      <c r="V146" cm="1">
        <f t="array" ref="V146">BSCall(B146,6.5,0,0.2,G146)</f>
        <v>0.51748763018826294</v>
      </c>
      <c r="W146" cm="1">
        <f t="array" ref="W146">DeltaC(B146,6.5,G146,0,0,0.2)</f>
        <v>0.59012231160536044</v>
      </c>
      <c r="X146" cm="1">
        <f t="array" ref="X146">GammaCP(B146,6.5,G146,0,0,0.2)</f>
        <v>0.35272676982922552</v>
      </c>
      <c r="Z146">
        <f t="shared" si="11"/>
        <v>0.79683068619100417</v>
      </c>
      <c r="AA146">
        <f t="shared" si="12"/>
        <v>0.29136646182085624</v>
      </c>
      <c r="AC146">
        <f t="shared" si="14"/>
        <v>0.82583579952581054</v>
      </c>
    </row>
    <row r="147" spans="1:29" x14ac:dyDescent="0.3">
      <c r="A147" s="2">
        <v>43216</v>
      </c>
      <c r="B147">
        <v>6.72</v>
      </c>
      <c r="C147" s="5">
        <v>0.81333999999999995</v>
      </c>
      <c r="D147" s="5">
        <v>0.51558000000000004</v>
      </c>
      <c r="E147" s="7"/>
      <c r="G147">
        <f t="shared" si="10"/>
        <v>0.68219178082191778</v>
      </c>
      <c r="I147" s="8" cm="1">
        <f t="array" ref="I147">BSCall(B147,6,0,0.2,G147)</f>
        <v>0.87314801623901861</v>
      </c>
      <c r="J147" cm="1">
        <f t="array" ref="J147">DeltaC(B147,6,G147,0,0,0.2)</f>
        <v>0.7789483253413978</v>
      </c>
      <c r="K147" cm="1">
        <f t="array" ref="K147">GammaCP(B147,6,G147,0,0,0.2)</f>
        <v>0.26746272575095337</v>
      </c>
      <c r="M147">
        <f t="shared" si="13"/>
        <v>0.8378793015862499</v>
      </c>
      <c r="V147" cm="1">
        <f t="array" ref="V147">BSCall(B147,6.5,0,0.2,G147)</f>
        <v>0.55389474679559214</v>
      </c>
      <c r="W147" cm="1">
        <f t="array" ref="W147">DeltaC(B147,6.5,G147,0,0,0.2)</f>
        <v>0.61183171167291905</v>
      </c>
      <c r="X147" cm="1">
        <f t="array" ref="X147">GammaCP(B147,6.5,G147,0,0,0.2)</f>
        <v>0.34516873218850985</v>
      </c>
      <c r="Z147">
        <f t="shared" si="11"/>
        <v>0.77487530245028613</v>
      </c>
      <c r="AA147">
        <f t="shared" si="12"/>
        <v>0.30485504271016839</v>
      </c>
      <c r="AC147">
        <f t="shared" si="14"/>
        <v>0.87291082786715746</v>
      </c>
    </row>
    <row r="148" spans="1:29" x14ac:dyDescent="0.3">
      <c r="A148" s="2">
        <v>43217</v>
      </c>
      <c r="B148">
        <v>6.7480000000000002</v>
      </c>
      <c r="C148" s="5">
        <v>0.83265</v>
      </c>
      <c r="D148" s="5">
        <v>0.51961999999999997</v>
      </c>
      <c r="E148" s="7"/>
      <c r="G148">
        <f t="shared" si="10"/>
        <v>0.67945205479452053</v>
      </c>
      <c r="I148" s="8" cm="1">
        <f t="array" ref="I148">BSCall(B148,6,0,0.2,G148)</f>
        <v>0.8944106286146738</v>
      </c>
      <c r="J148" cm="1">
        <f t="array" ref="J148">DeltaC(B148,6,G148,0,0,0.2)</f>
        <v>0.78671762033280146</v>
      </c>
      <c r="K148" cm="1">
        <f t="array" ref="K148">GammaCP(B148,6,G148,0,0,0.2)</f>
        <v>0.26142924551696656</v>
      </c>
      <c r="M148">
        <f t="shared" si="13"/>
        <v>0.85968985469580939</v>
      </c>
      <c r="V148" cm="1">
        <f t="array" ref="V148">BSCall(B148,6.5,0,0.2,G148)</f>
        <v>0.57030873180513675</v>
      </c>
      <c r="W148" cm="1">
        <f t="array" ref="W148">DeltaC(B148,6.5,G148,0,0,0.2)</f>
        <v>0.62155142562706345</v>
      </c>
      <c r="X148" cm="1">
        <f t="array" ref="X148">GammaCP(B148,6.5,G148,0,0,0.2)</f>
        <v>0.34183553842721309</v>
      </c>
      <c r="Z148">
        <f t="shared" si="11"/>
        <v>0.76478076773352399</v>
      </c>
      <c r="AA148">
        <f t="shared" si="12"/>
        <v>0.31136704385586955</v>
      </c>
      <c r="AC148">
        <f t="shared" si="14"/>
        <v>0.8941655606617277</v>
      </c>
    </row>
    <row r="149" spans="1:29" x14ac:dyDescent="0.3">
      <c r="A149" s="2">
        <v>43220</v>
      </c>
      <c r="B149">
        <v>6.8120000000000003</v>
      </c>
      <c r="C149" s="5">
        <v>0.88166</v>
      </c>
      <c r="D149" s="5">
        <v>0.54349000000000003</v>
      </c>
      <c r="E149" s="7"/>
      <c r="G149">
        <f t="shared" si="10"/>
        <v>0.67123287671232879</v>
      </c>
      <c r="I149" s="8" cm="1">
        <f t="array" ref="I149">BSCall(B149,6,0,0.2,G149)</f>
        <v>0.94339934081755672</v>
      </c>
      <c r="J149" cm="1">
        <f t="array" ref="J149">DeltaC(B149,6,G149,0,0,0.2)</f>
        <v>0.8041510239045796</v>
      </c>
      <c r="K149" cm="1">
        <f t="array" ref="K149">GammaCP(B149,6,G149,0,0,0.2)</f>
        <v>0.24765984549391992</v>
      </c>
      <c r="M149">
        <f t="shared" si="13"/>
        <v>0.9100397823971087</v>
      </c>
      <c r="V149" cm="1">
        <f t="array" ref="V149">BSCall(B149,6.5,0,0.2,G149)</f>
        <v>0.60824100028742034</v>
      </c>
      <c r="W149" cm="1">
        <f t="array" ref="W149">DeltaC(B149,6.5,G149,0,0,0.2)</f>
        <v>0.6435830512145525</v>
      </c>
      <c r="X149" cm="1">
        <f t="array" ref="X149">GammaCP(B149,6.5,G149,0,0,0.2)</f>
        <v>0.33400536358888178</v>
      </c>
      <c r="Z149">
        <f t="shared" si="11"/>
        <v>0.74148463615320193</v>
      </c>
      <c r="AA149">
        <f t="shared" si="12"/>
        <v>0.3269440793403896</v>
      </c>
      <c r="AC149">
        <f t="shared" si="14"/>
        <v>0.94310292088025838</v>
      </c>
    </row>
    <row r="150" spans="1:29" x14ac:dyDescent="0.3">
      <c r="A150" s="2">
        <v>43222</v>
      </c>
      <c r="B150">
        <v>6.9240000000000004</v>
      </c>
      <c r="C150" s="5">
        <v>0.97472000000000003</v>
      </c>
      <c r="D150" s="5">
        <v>0.59694999999999998</v>
      </c>
      <c r="E150" s="7"/>
      <c r="G150">
        <f t="shared" si="10"/>
        <v>0.66575342465753429</v>
      </c>
      <c r="I150" s="8" cm="1">
        <f t="array" ref="I150">BSCall(B150,6,0,0.2,G150)</f>
        <v>1.0337945906265134</v>
      </c>
      <c r="J150" cm="1">
        <f t="array" ref="J150">DeltaC(B150,6,G150,0,0,0.2)</f>
        <v>0.83130163852456695</v>
      </c>
      <c r="K150" cm="1">
        <f t="array" ref="K150">GammaCP(B150,6,G150,0,0,0.2)</f>
        <v>0.22285691856574161</v>
      </c>
      <c r="M150">
        <f t="shared" si="13"/>
        <v>1.0001046970744216</v>
      </c>
      <c r="V150" cm="1">
        <f t="array" ref="V150">BSCall(B150,6.5,0,0.2,G150)</f>
        <v>0.68071983474369535</v>
      </c>
      <c r="W150" cm="1">
        <f t="array" ref="W150">DeltaC(B150,6.5,G150,0,0,0.2)</f>
        <v>0.68040303535841307</v>
      </c>
      <c r="X150" cm="1">
        <f t="array" ref="X150">GammaCP(B150,6.5,G150,0,0,0.2)</f>
        <v>0.31632811433598956</v>
      </c>
      <c r="Z150">
        <f t="shared" si="11"/>
        <v>0.70451189276534865</v>
      </c>
      <c r="AA150">
        <f t="shared" si="12"/>
        <v>0.35194960824092292</v>
      </c>
      <c r="AC150">
        <f t="shared" si="14"/>
        <v>1.0334625999620013</v>
      </c>
    </row>
    <row r="151" spans="1:29" x14ac:dyDescent="0.3">
      <c r="A151" s="2">
        <v>43223</v>
      </c>
      <c r="B151">
        <v>6.7960000000000003</v>
      </c>
      <c r="C151" s="5">
        <v>0.85912999999999995</v>
      </c>
      <c r="D151" s="5">
        <v>0.48326000000000002</v>
      </c>
      <c r="E151" s="7"/>
      <c r="G151">
        <f t="shared" si="10"/>
        <v>0.66301369863013704</v>
      </c>
      <c r="I151" s="8" cm="1">
        <f t="array" ref="I151">BSCall(B151,6,0,0.2,G151)</f>
        <v>0.92865446439564803</v>
      </c>
      <c r="J151" cm="1">
        <f t="array" ref="J151">DeltaC(B151,6,G151,0,0,0.2)</f>
        <v>0.80133117921388641</v>
      </c>
      <c r="K151" cm="1">
        <f t="array" ref="K151">GammaCP(B151,6,G151,0,0,0.2)</f>
        <v>0.25194629117757988</v>
      </c>
      <c r="M151">
        <f t="shared" si="13"/>
        <v>0.89369808734327694</v>
      </c>
      <c r="V151" cm="1">
        <f t="array" ref="V151">BSCall(B151,6.5,0,0.2,G151)</f>
        <v>0.5954242055956902</v>
      </c>
      <c r="W151" cm="1">
        <f t="array" ref="W151">DeltaC(B151,6.5,G151,0,0,0.2)</f>
        <v>0.63865940123074816</v>
      </c>
      <c r="X151" cm="1">
        <f t="array" ref="X151">GammaCP(B151,6.5,G151,0,0,0.2)</f>
        <v>0.33846854679938509</v>
      </c>
      <c r="Z151">
        <f t="shared" si="11"/>
        <v>0.74437135609800653</v>
      </c>
      <c r="AA151">
        <f t="shared" si="12"/>
        <v>0.32593141463501357</v>
      </c>
      <c r="AC151">
        <f t="shared" si="14"/>
        <v>0.9283212649714907</v>
      </c>
    </row>
    <row r="152" spans="1:29" x14ac:dyDescent="0.3">
      <c r="A152" s="2">
        <v>43224</v>
      </c>
      <c r="B152">
        <v>6.8380000000000001</v>
      </c>
      <c r="C152" s="5">
        <v>0.89441999999999999</v>
      </c>
      <c r="D152" s="5">
        <v>0.50665000000000004</v>
      </c>
      <c r="E152" s="7"/>
      <c r="G152">
        <f t="shared" si="10"/>
        <v>0.66027397260273968</v>
      </c>
      <c r="I152" s="8" cm="1">
        <f t="array" ref="I152">BSCall(B152,6,0,0.2,G152)</f>
        <v>0.96190864310089719</v>
      </c>
      <c r="J152" cm="1">
        <f t="array" ref="J152">DeltaC(B152,6,G152,0,0,0.2)</f>
        <v>0.81211407594183305</v>
      </c>
      <c r="K152" cm="1">
        <f t="array" ref="K152">GammaCP(B152,6,G152,0,0,0.2)</f>
        <v>0.24251540583205622</v>
      </c>
      <c r="M152">
        <f t="shared" si="13"/>
        <v>0.92735399687025999</v>
      </c>
      <c r="V152" cm="1">
        <f t="array" ref="V152">BSCall(B152,6.5,0,0.2,G152)</f>
        <v>0.62169389174602729</v>
      </c>
      <c r="W152" cm="1">
        <f t="array" ref="W152">DeltaC(B152,6.5,G152,0,0,0.2)</f>
        <v>0.65290933664007134</v>
      </c>
      <c r="X152" cm="1">
        <f t="array" ref="X152">GammaCP(B152,6.5,G152,0,0,0.2)</f>
        <v>0.3322911509100413</v>
      </c>
      <c r="Z152">
        <f t="shared" si="11"/>
        <v>0.72982805942283613</v>
      </c>
      <c r="AA152">
        <f t="shared" si="12"/>
        <v>0.33560252180275857</v>
      </c>
      <c r="AC152">
        <f t="shared" si="14"/>
        <v>0.96156478629015674</v>
      </c>
    </row>
    <row r="153" spans="1:29" x14ac:dyDescent="0.3">
      <c r="A153" s="2">
        <v>43227</v>
      </c>
      <c r="B153">
        <v>6.8639999999999999</v>
      </c>
      <c r="C153" s="5">
        <v>0.91427999999999998</v>
      </c>
      <c r="D153" s="5">
        <v>0.51304000000000005</v>
      </c>
      <c r="E153" s="7"/>
      <c r="G153">
        <f t="shared" si="10"/>
        <v>0.65205479452054793</v>
      </c>
      <c r="I153" s="8" cm="1">
        <f t="array" ref="I153">BSCall(B153,6,0,0.2,G153)</f>
        <v>0.98127075849878409</v>
      </c>
      <c r="J153" cm="1">
        <f t="array" ref="J153">DeltaC(B153,6,G153,0,0,0.2)</f>
        <v>0.8195783748779879</v>
      </c>
      <c r="K153" cm="1">
        <f t="array" ref="K153">GammaCP(B153,6,G153,0,0,0.2)</f>
        <v>0.23705672448567455</v>
      </c>
      <c r="M153">
        <f t="shared" si="13"/>
        <v>0.94846896284474747</v>
      </c>
      <c r="V153" cm="1">
        <f t="array" ref="V153">BSCall(B153,6.5,0,0.2,G153)</f>
        <v>0.63623458171949787</v>
      </c>
      <c r="W153" cm="1">
        <f t="array" ref="W153">DeltaC(B153,6.5,G153,0,0,0.2)</f>
        <v>0.66207704584401028</v>
      </c>
      <c r="X153" cm="1">
        <f t="array" ref="X153">GammaCP(B153,6.5,G153,0,0,0.2)</f>
        <v>0.3297575747121132</v>
      </c>
      <c r="Z153">
        <f t="shared" si="11"/>
        <v>0.7188818170215836</v>
      </c>
      <c r="AA153">
        <f t="shared" si="12"/>
        <v>0.34362322515336347</v>
      </c>
      <c r="AC153">
        <f t="shared" si="14"/>
        <v>0.98090265540303556</v>
      </c>
    </row>
    <row r="154" spans="1:29" x14ac:dyDescent="0.3">
      <c r="A154" s="2">
        <v>43228</v>
      </c>
      <c r="B154">
        <v>6.8</v>
      </c>
      <c r="C154" s="5">
        <v>0.85614000000000001</v>
      </c>
      <c r="D154" s="5">
        <v>0.45800000000000002</v>
      </c>
      <c r="E154" s="7"/>
      <c r="G154">
        <f t="shared" si="10"/>
        <v>0.64931506849315068</v>
      </c>
      <c r="I154" s="8" cm="1">
        <f t="array" ref="I154">BSCall(B154,6,0,0.2,G154)</f>
        <v>0.92867484046003135</v>
      </c>
      <c r="J154" cm="1">
        <f t="array" ref="J154">DeltaC(B154,6,G154,0,0,0.2)</f>
        <v>0.80433785946698511</v>
      </c>
      <c r="K154" cm="1">
        <f t="array" ref="K154">GammaCP(B154,6,G154,0,0,0.2)</f>
        <v>0.25210334244070148</v>
      </c>
      <c r="M154">
        <f t="shared" si="13"/>
        <v>0.89601594685255614</v>
      </c>
      <c r="V154" cm="1">
        <f t="array" ref="V154">BSCall(B154,6.5,0,0.2,G154)</f>
        <v>0.59368095110888852</v>
      </c>
      <c r="W154" cm="1">
        <f t="array" ref="W154">DeltaC(B154,6.5,G154,0,0,0.2)</f>
        <v>0.64078307211480323</v>
      </c>
      <c r="X154" cm="1">
        <f t="array" ref="X154">GammaCP(B154,6.5,G154,0,0,0.2)</f>
        <v>0.34112586965800118</v>
      </c>
      <c r="Z154">
        <f t="shared" si="11"/>
        <v>0.7390331981958741</v>
      </c>
      <c r="AA154">
        <f t="shared" si="12"/>
        <v>0.33077789633220467</v>
      </c>
      <c r="AC154">
        <f t="shared" si="14"/>
        <v>0.92831973769900011</v>
      </c>
    </row>
    <row r="155" spans="1:29" x14ac:dyDescent="0.3">
      <c r="A155" s="2">
        <v>43229</v>
      </c>
      <c r="B155">
        <v>6.8159999999999998</v>
      </c>
      <c r="C155" s="5">
        <v>0.86978999999999995</v>
      </c>
      <c r="D155" s="5">
        <v>0.47016999999999998</v>
      </c>
      <c r="E155" s="7"/>
      <c r="G155">
        <f t="shared" si="10"/>
        <v>0.64657534246575343</v>
      </c>
      <c r="I155" s="8" cm="1">
        <f t="array" ref="I155">BSCall(B155,6,0,0.2,G155)</f>
        <v>0.94094386628791327</v>
      </c>
      <c r="J155" cm="1">
        <f t="array" ref="J155">DeltaC(B155,6,G155,0,0,0.2)</f>
        <v>0.80875170150817921</v>
      </c>
      <c r="K155" cm="1">
        <f t="array" ref="K155">GammaCP(B155,6,G155,0,0,0.2)</f>
        <v>0.24855978905061035</v>
      </c>
      <c r="M155">
        <f t="shared" si="13"/>
        <v>0.90888535260402792</v>
      </c>
      <c r="V155" cm="1">
        <f t="array" ref="V155">BSCall(B155,6.5,0,0.2,G155)</f>
        <v>0.60311448640033039</v>
      </c>
      <c r="W155" cm="1">
        <f t="array" ref="W155">DeltaC(B155,6.5,G155,0,0,0.2)</f>
        <v>0.64638868431059138</v>
      </c>
      <c r="X155" cm="1">
        <f t="array" ref="X155">GammaCP(B155,6.5,G155,0,0,0.2)</f>
        <v>0.33916312154444589</v>
      </c>
      <c r="Z155">
        <f t="shared" si="11"/>
        <v>0.73286207509455781</v>
      </c>
      <c r="AA155">
        <f t="shared" si="12"/>
        <v>0.33503794900667816</v>
      </c>
      <c r="AC155">
        <f t="shared" si="14"/>
        <v>0.94058387979704339</v>
      </c>
    </row>
    <row r="156" spans="1:29" x14ac:dyDescent="0.3">
      <c r="A156" s="2">
        <v>43230</v>
      </c>
      <c r="B156">
        <v>6.91</v>
      </c>
      <c r="C156" s="5">
        <v>0.95204999999999995</v>
      </c>
      <c r="D156" s="5">
        <v>0.53495999999999999</v>
      </c>
      <c r="E156" s="7"/>
      <c r="G156">
        <f t="shared" si="10"/>
        <v>0.64383561643835618</v>
      </c>
      <c r="I156" s="8" cm="1">
        <f t="array" ref="I156">BSCall(B156,6,0,0.2,G156)</f>
        <v>1.0174389016512286</v>
      </c>
      <c r="J156" cm="1">
        <f t="array" ref="J156">DeltaC(B156,6,G156,0,0,0.2)</f>
        <v>0.83151518909790023</v>
      </c>
      <c r="K156" cm="1">
        <f t="array" ref="K156">GammaCP(B156,6,G156,0,0,0.2)</f>
        <v>0.22689279731360246</v>
      </c>
      <c r="M156">
        <f t="shared" si="13"/>
        <v>0.98490801254579696</v>
      </c>
      <c r="V156" cm="1">
        <f t="array" ref="V156">BSCall(B156,6.5,0,0.2,G156)</f>
        <v>0.66450448266054263</v>
      </c>
      <c r="W156" cm="1">
        <f t="array" ref="W156">DeltaC(B156,6.5,G156,0,0,0.2)</f>
        <v>0.67774257512101455</v>
      </c>
      <c r="X156" cm="1">
        <f t="array" ref="X156">GammaCP(B156,6.5,G156,0,0,0.2)</f>
        <v>0.32343495179040815</v>
      </c>
      <c r="Z156">
        <f t="shared" si="11"/>
        <v>0.70150982773387216</v>
      </c>
      <c r="AA156">
        <f t="shared" si="12"/>
        <v>0.35607211197684641</v>
      </c>
      <c r="AC156">
        <f t="shared" si="14"/>
        <v>1.0170678470529775</v>
      </c>
    </row>
    <row r="157" spans="1:29" x14ac:dyDescent="0.3">
      <c r="A157" s="2">
        <v>43231</v>
      </c>
      <c r="B157">
        <v>6.94</v>
      </c>
      <c r="C157" s="5">
        <v>0.97794000000000003</v>
      </c>
      <c r="D157" s="5">
        <v>0.54820999999999998</v>
      </c>
      <c r="E157" s="7"/>
      <c r="G157">
        <f t="shared" si="10"/>
        <v>0.64109589041095894</v>
      </c>
      <c r="I157" s="8" cm="1">
        <f t="array" ref="I157">BSCall(B157,6,0,0.2,G157)</f>
        <v>1.0419045789320958</v>
      </c>
      <c r="J157" cm="1">
        <f t="array" ref="J157">DeltaC(B157,6,G157,0,0,0.2)</f>
        <v>0.83865132139043264</v>
      </c>
      <c r="K157" cm="1">
        <f t="array" ref="K157">GammaCP(B157,6,G157,0,0,0.2)</f>
        <v>0.22013690787514603</v>
      </c>
      <c r="M157">
        <f t="shared" si="13"/>
        <v>1.0098534682187341</v>
      </c>
      <c r="V157" cm="1">
        <f t="array" ref="V157">BSCall(B157,6.5,0,0.2,G157)</f>
        <v>0.68414167202057019</v>
      </c>
      <c r="W157" cm="1">
        <f t="array" ref="W157">DeltaC(B157,6.5,G157,0,0,0.2)</f>
        <v>0.68761133108537731</v>
      </c>
      <c r="X157" cm="1">
        <f t="array" ref="X157">GammaCP(B157,6.5,G157,0,0,0.2)</f>
        <v>0.31850432191651923</v>
      </c>
      <c r="Z157">
        <f t="shared" si="11"/>
        <v>0.69115830689683533</v>
      </c>
      <c r="AA157">
        <f t="shared" si="12"/>
        <v>0.363403037994384</v>
      </c>
      <c r="AC157">
        <f t="shared" si="14"/>
        <v>1.0415256917374134</v>
      </c>
    </row>
    <row r="158" spans="1:29" x14ac:dyDescent="0.3">
      <c r="A158" s="2">
        <v>43234</v>
      </c>
      <c r="B158">
        <v>6.8719999999999999</v>
      </c>
      <c r="C158" s="5">
        <v>0.91481999999999997</v>
      </c>
      <c r="D158" s="5">
        <v>0.48910999999999999</v>
      </c>
      <c r="E158" s="7"/>
      <c r="G158">
        <f t="shared" si="10"/>
        <v>0.63287671232876708</v>
      </c>
      <c r="I158" s="8" cm="1">
        <f t="array" ref="I158">BSCall(B158,6,0,0.2,G158)</f>
        <v>0.98356501913464189</v>
      </c>
      <c r="J158" cm="1">
        <f t="array" ref="J158">DeltaC(B158,6,G158,0,0,0.2)</f>
        <v>0.82443798671006208</v>
      </c>
      <c r="K158" cm="1">
        <f t="array" ref="K158">GammaCP(B158,6,G158,0,0,0.2)</f>
        <v>0.23623897860430892</v>
      </c>
      <c r="M158">
        <f t="shared" si="13"/>
        <v>0.95282517836418423</v>
      </c>
      <c r="V158" cm="1">
        <f t="array" ref="V158">BSCall(B158,6.5,0,0.2,G158)</f>
        <v>0.63555442742640578</v>
      </c>
      <c r="W158" cm="1">
        <f t="array" ref="W158">DeltaC(B158,6.5,G158,0,0,0.2)</f>
        <v>0.66616095281229892</v>
      </c>
      <c r="X158" cm="1">
        <f t="array" ref="X158">GammaCP(B158,6.5,G158,0,0,0.2)</f>
        <v>0.33274426581577676</v>
      </c>
      <c r="Z158">
        <f t="shared" si="11"/>
        <v>0.7099715994357727</v>
      </c>
      <c r="AA158">
        <f t="shared" si="12"/>
        <v>0.35148262956025589</v>
      </c>
      <c r="AC158">
        <f t="shared" si="14"/>
        <v>0.98323280744330999</v>
      </c>
    </row>
    <row r="159" spans="1:29" x14ac:dyDescent="0.3">
      <c r="A159" s="2">
        <v>43235</v>
      </c>
      <c r="B159">
        <v>6.8819999999999997</v>
      </c>
      <c r="C159" s="5">
        <v>0.92327000000000004</v>
      </c>
      <c r="D159" s="5">
        <v>0.49391000000000002</v>
      </c>
      <c r="E159" s="7"/>
      <c r="G159">
        <f t="shared" si="10"/>
        <v>0.63013698630136983</v>
      </c>
      <c r="I159" s="8" cm="1">
        <f t="array" ref="I159">BSCall(B159,6,0,0.2,G159)</f>
        <v>0.99121402876456699</v>
      </c>
      <c r="J159" cm="1">
        <f t="array" ref="J159">DeltaC(B159,6,G159,0,0,0.2)</f>
        <v>0.82722348455929862</v>
      </c>
      <c r="K159" cm="1">
        <f t="array" ref="K159">GammaCP(B159,6,G159,0,0,0.2)</f>
        <v>0.23401707145791115</v>
      </c>
      <c r="M159">
        <f t="shared" si="13"/>
        <v>0.9610695582312847</v>
      </c>
      <c r="V159" cm="1">
        <f t="array" ref="V159">BSCall(B159,6.5,0,0.2,G159)</f>
        <v>0.64137296527805931</v>
      </c>
      <c r="W159" cm="1">
        <f t="array" ref="W159">DeltaC(B159,6.5,G159,0,0,0.2)</f>
        <v>0.6696993638922264</v>
      </c>
      <c r="X159" cm="1">
        <f t="array" ref="X159">GammaCP(B159,6.5,G159,0,0,0.2)</f>
        <v>0.33157610380172303</v>
      </c>
      <c r="Z159">
        <f t="shared" si="11"/>
        <v>0.70577182364700641</v>
      </c>
      <c r="AA159">
        <f t="shared" si="12"/>
        <v>0.35456854320984182</v>
      </c>
      <c r="AC159">
        <f t="shared" si="14"/>
        <v>0.99087863036382851</v>
      </c>
    </row>
    <row r="160" spans="1:29" x14ac:dyDescent="0.3">
      <c r="A160" s="2">
        <v>43236</v>
      </c>
      <c r="B160">
        <v>6.7779999999999996</v>
      </c>
      <c r="C160" s="5">
        <v>0.83043999999999996</v>
      </c>
      <c r="D160" s="5">
        <v>0.41666999999999998</v>
      </c>
      <c r="E160" s="7"/>
      <c r="G160">
        <f t="shared" si="10"/>
        <v>0.62739726027397258</v>
      </c>
      <c r="I160" s="8" cm="1">
        <f t="array" ref="I160">BSCall(B160,6,0,0.2,G160)</f>
        <v>0.90584087544231018</v>
      </c>
      <c r="J160" cm="1">
        <f t="array" ref="J160">DeltaC(B160,6,G160,0,0,0.2)</f>
        <v>0.80201485568218966</v>
      </c>
      <c r="K160" cm="1">
        <f t="array" ref="K160">GammaCP(B160,6,G160,0,0,0.2)</f>
        <v>0.25914701484315594</v>
      </c>
      <c r="M160">
        <f t="shared" si="13"/>
        <v>0.87503831583711755</v>
      </c>
      <c r="V160" cm="1">
        <f t="array" ref="V160">BSCall(B160,6.5,0,0.2,G160)</f>
        <v>0.5726698313377554</v>
      </c>
      <c r="W160" cm="1">
        <f t="array" ref="W160">DeltaC(B160,6.5,G160,0,0,0.2)</f>
        <v>0.63441651555257772</v>
      </c>
      <c r="X160" cm="1">
        <f t="array" ref="X160">GammaCP(B160,6.5,G160,0,0,0.2)</f>
        <v>0.35024707884000367</v>
      </c>
      <c r="Z160">
        <f t="shared" si="11"/>
        <v>0.73989771935124937</v>
      </c>
      <c r="AA160">
        <f t="shared" si="12"/>
        <v>0.33261152270607097</v>
      </c>
      <c r="AC160">
        <f t="shared" si="14"/>
        <v>0.90551476573869205</v>
      </c>
    </row>
    <row r="161" spans="1:29" x14ac:dyDescent="0.3">
      <c r="A161" s="2">
        <v>43237</v>
      </c>
      <c r="B161">
        <v>6.8259999999999996</v>
      </c>
      <c r="C161" s="5">
        <v>0.87407999999999997</v>
      </c>
      <c r="D161" s="5">
        <v>0.46178000000000002</v>
      </c>
      <c r="E161" s="7"/>
      <c r="G161">
        <f t="shared" si="10"/>
        <v>0.62465753424657533</v>
      </c>
      <c r="I161" s="8" cm="1">
        <f t="array" ref="I161">BSCall(B161,6,0,0.2,G161)</f>
        <v>0.94399944466670505</v>
      </c>
      <c r="J161" cm="1">
        <f t="array" ref="J161">DeltaC(B161,6,G161,0,0,0.2)</f>
        <v>0.8146054116265744</v>
      </c>
      <c r="K161" cm="1">
        <f t="array" ref="K161">GammaCP(B161,6,G161,0,0,0.2)</f>
        <v>0.24771593522192473</v>
      </c>
      <c r="M161">
        <f t="shared" si="13"/>
        <v>0.91353502890986271</v>
      </c>
      <c r="V161" cm="1">
        <f t="array" ref="V161">BSCall(B161,6.5,0,0.2,G161)</f>
        <v>0.60264779796383117</v>
      </c>
      <c r="W161" cm="1">
        <f t="array" ref="W161">DeltaC(B161,6.5,G161,0,0,0.2)</f>
        <v>0.65122240410269627</v>
      </c>
      <c r="X161" cm="1">
        <f t="array" ref="X161">GammaCP(B161,6.5,G161,0,0,0.2)</f>
        <v>0.34284478620673869</v>
      </c>
      <c r="Z161">
        <f t="shared" si="11"/>
        <v>0.72253085124225758</v>
      </c>
      <c r="AA161">
        <f t="shared" si="12"/>
        <v>0.34407713364222381</v>
      </c>
      <c r="AC161">
        <f t="shared" si="14"/>
        <v>0.94366074796600485</v>
      </c>
    </row>
    <row r="162" spans="1:29" x14ac:dyDescent="0.3">
      <c r="A162" s="2">
        <v>43238</v>
      </c>
      <c r="B162">
        <v>7.0339999999999998</v>
      </c>
      <c r="C162" s="5">
        <v>1.0619700000000001</v>
      </c>
      <c r="D162" s="5">
        <v>0.61826999999999999</v>
      </c>
      <c r="E162" s="7"/>
      <c r="G162">
        <f t="shared" si="10"/>
        <v>0.62191780821917808</v>
      </c>
      <c r="I162" s="8" cm="1">
        <f t="array" ref="I162">BSCall(B162,6,0,0.2,G162)</f>
        <v>1.1178990215626659</v>
      </c>
      <c r="J162" cm="1">
        <f t="array" ref="J162">DeltaC(B162,6,G162,0,0,0.2)</f>
        <v>0.86146610290622649</v>
      </c>
      <c r="K162" cm="1">
        <f t="array" ref="K162">GammaCP(B162,6,G162,0,0,0.2)</f>
        <v>0.19919106629179079</v>
      </c>
      <c r="M162">
        <f t="shared" si="13"/>
        <v>1.0829729545281903</v>
      </c>
      <c r="V162" cm="1">
        <f t="array" ref="V162">BSCall(B162,6.5,0,0.2,G162)</f>
        <v>0.74442185077598655</v>
      </c>
      <c r="W162" cm="1">
        <f t="array" ref="W162">DeltaC(B162,6.5,G162,0,0,0.2)</f>
        <v>0.71885467439471373</v>
      </c>
      <c r="X162" cm="1">
        <f t="array" ref="X162">GammaCP(B162,6.5,G162,0,0,0.2)</f>
        <v>0.304020763911801</v>
      </c>
      <c r="Z162">
        <f t="shared" si="11"/>
        <v>0.6551890197525384</v>
      </c>
      <c r="AA162">
        <f t="shared" si="12"/>
        <v>0.39048041344502382</v>
      </c>
      <c r="AC162">
        <f t="shared" si="14"/>
        <v>1.1176649188260188</v>
      </c>
    </row>
    <row r="163" spans="1:29" x14ac:dyDescent="0.3">
      <c r="A163" s="2">
        <v>43241</v>
      </c>
      <c r="B163">
        <v>7.0659999999999998</v>
      </c>
      <c r="C163" s="5">
        <v>1.0911500000000001</v>
      </c>
      <c r="D163" s="5">
        <v>0.63946999999999998</v>
      </c>
      <c r="E163" s="7"/>
      <c r="G163">
        <f t="shared" si="10"/>
        <v>0.61369863013698633</v>
      </c>
      <c r="I163" s="8" cm="1">
        <f t="array" ref="I163">BSCall(B163,6,0,0.2,G163)</f>
        <v>1.1439904269082213</v>
      </c>
      <c r="J163" cm="1">
        <f t="array" ref="J163">DeltaC(B163,6,G163,0,0,0.2)</f>
        <v>0.86909119027407622</v>
      </c>
      <c r="K163" cm="1">
        <f t="array" ref="K163">GammaCP(B163,6,G163,0,0,0.2)</f>
        <v>0.19200577943344335</v>
      </c>
      <c r="M163">
        <f t="shared" si="13"/>
        <v>1.1105398698211897</v>
      </c>
      <c r="V163" cm="1">
        <f t="array" ref="V163">BSCall(B163,6.5,0,0.2,G163)</f>
        <v>0.76513203801992535</v>
      </c>
      <c r="W163" cm="1">
        <f t="array" ref="W163">DeltaC(B163,6.5,G163,0,0,0.2)</f>
        <v>0.72947665246307991</v>
      </c>
      <c r="X163" cm="1">
        <f t="array" ref="X163">GammaCP(B163,6.5,G163,0,0,0.2)</f>
        <v>0.29895232776972919</v>
      </c>
      <c r="Z163">
        <f t="shared" si="11"/>
        <v>0.64226219901300652</v>
      </c>
      <c r="AA163">
        <f t="shared" si="12"/>
        <v>0.40057591133449177</v>
      </c>
      <c r="AC163">
        <f t="shared" si="14"/>
        <v>1.1437293793355074</v>
      </c>
    </row>
    <row r="164" spans="1:29" x14ac:dyDescent="0.3">
      <c r="A164" s="2">
        <v>43242</v>
      </c>
      <c r="B164">
        <v>7.1680000000000001</v>
      </c>
      <c r="C164" s="5">
        <v>1.18634</v>
      </c>
      <c r="D164" s="5">
        <v>0.72219999999999995</v>
      </c>
      <c r="E164" s="7"/>
      <c r="G164">
        <f t="shared" si="10"/>
        <v>0.61095890410958908</v>
      </c>
      <c r="I164" s="8" cm="1">
        <f t="array" ref="I164">BSCall(B164,6,0,0.2,G164)</f>
        <v>1.2331191941053721</v>
      </c>
      <c r="J164" cm="1">
        <f t="array" ref="J164">DeltaC(B164,6,G164,0,0,0.2)</f>
        <v>0.88799764108275125</v>
      </c>
      <c r="K164" cm="1">
        <f t="array" ref="K164">GammaCP(B164,6,G164,0,0,0.2)</f>
        <v>0.16998767951020458</v>
      </c>
      <c r="M164">
        <f t="shared" si="13"/>
        <v>1.1991871712291458</v>
      </c>
      <c r="V164" cm="1">
        <f t="array" ref="V164">BSCall(B164,6.5,0,0.2,G164)</f>
        <v>0.8402750257206133</v>
      </c>
      <c r="W164" cm="1">
        <f t="array" ref="W164">DeltaC(B164,6.5,G164,0,0,0.2)</f>
        <v>0.75926162621233972</v>
      </c>
      <c r="X164" cm="1">
        <f t="array" ref="X164">GammaCP(B164,6.5,G164,0,0,0.2)</f>
        <v>0.2778919809843976</v>
      </c>
      <c r="Z164">
        <f t="shared" si="11"/>
        <v>0.61170415536297407</v>
      </c>
      <c r="AA164">
        <f t="shared" si="12"/>
        <v>0.42355414932101387</v>
      </c>
      <c r="AC164">
        <f t="shared" si="14"/>
        <v>1.2328496228126768</v>
      </c>
    </row>
    <row r="165" spans="1:29" x14ac:dyDescent="0.3">
      <c r="A165" s="2">
        <v>43243</v>
      </c>
      <c r="B165">
        <v>7.0439999999999996</v>
      </c>
      <c r="C165" s="5">
        <v>1.0701499999999999</v>
      </c>
      <c r="D165" s="5">
        <v>0.62187000000000003</v>
      </c>
      <c r="E165" s="7"/>
      <c r="G165">
        <f t="shared" si="10"/>
        <v>0.60821917808219184</v>
      </c>
      <c r="I165" s="8" cm="1">
        <f t="array" ref="I165">BSCall(B165,6,0,0.2,G165)</f>
        <v>1.123846640795727</v>
      </c>
      <c r="J165" cm="1">
        <f t="array" ref="J165">DeltaC(B165,6,G165,0,0,0.2)</f>
        <v>0.86573487525483661</v>
      </c>
      <c r="K165" cm="1">
        <f t="array" ref="K165">GammaCP(B165,6,G165,0,0,0.2)</f>
        <v>0.19687493935022318</v>
      </c>
      <c r="M165">
        <f t="shared" si="13"/>
        <v>1.0890754637348841</v>
      </c>
      <c r="V165" cm="1">
        <f t="array" ref="V165">BSCall(B165,6.5,0,0.2,G165)</f>
        <v>0.74750323372058691</v>
      </c>
      <c r="W165" cm="1">
        <f t="array" ref="W165">DeltaC(B165,6.5,G165,0,0,0.2)</f>
        <v>0.72350412160627253</v>
      </c>
      <c r="X165" cm="1">
        <f t="array" ref="X165">GammaCP(B165,6.5,G165,0,0,0.2)</f>
        <v>0.30450761019073147</v>
      </c>
      <c r="Z165">
        <f t="shared" si="11"/>
        <v>0.64653536647871801</v>
      </c>
      <c r="AA165">
        <f t="shared" si="12"/>
        <v>0.39796387284326223</v>
      </c>
      <c r="AC165">
        <f t="shared" si="14"/>
        <v>1.1235800176299853</v>
      </c>
    </row>
    <row r="166" spans="1:29" x14ac:dyDescent="0.3">
      <c r="A166" s="2">
        <v>43244</v>
      </c>
      <c r="B166">
        <v>7.016</v>
      </c>
      <c r="C166" s="5">
        <v>1.0436700000000001</v>
      </c>
      <c r="D166" s="5">
        <v>0.59604000000000001</v>
      </c>
      <c r="E166" s="7"/>
      <c r="G166">
        <f t="shared" si="10"/>
        <v>0.60547945205479448</v>
      </c>
      <c r="I166" s="8" cm="1">
        <f t="array" ref="I166">BSCall(B166,6,0,0.2,G166)</f>
        <v>1.099135837749925</v>
      </c>
      <c r="J166" cm="1">
        <f t="array" ref="J166">DeltaC(B166,6,G166,0,0,0.2)</f>
        <v>0.8605977415441517</v>
      </c>
      <c r="K166" cm="1">
        <f t="array" ref="K166">GammaCP(B166,6,G166,0,0,0.2)</f>
        <v>0.20325771347712351</v>
      </c>
      <c r="M166">
        <f t="shared" si="13"/>
        <v>1.0648348872277491</v>
      </c>
      <c r="V166" cm="1">
        <f t="array" ref="V166">BSCall(B166,6.5,0,0.2,G166)</f>
        <v>0.72652760324143983</v>
      </c>
      <c r="W166" cm="1">
        <f t="array" ref="W166">DeltaC(B166,6.5,G166,0,0,0.2)</f>
        <v>0.71521284519767747</v>
      </c>
      <c r="X166" cm="1">
        <f t="array" ref="X166">GammaCP(B166,6.5,G166,0,0,0.2)</f>
        <v>0.3108253207121221</v>
      </c>
      <c r="Z166">
        <f t="shared" si="11"/>
        <v>0.6539290718383115</v>
      </c>
      <c r="AA166">
        <f t="shared" si="12"/>
        <v>0.3928992695171965</v>
      </c>
      <c r="AC166">
        <f t="shared" si="14"/>
        <v>1.0988755422514165</v>
      </c>
    </row>
    <row r="167" spans="1:29" x14ac:dyDescent="0.3">
      <c r="A167" s="2">
        <v>43245</v>
      </c>
      <c r="B167">
        <v>6.95</v>
      </c>
      <c r="C167" s="5">
        <v>0.9819</v>
      </c>
      <c r="D167" s="5">
        <v>0.53996</v>
      </c>
      <c r="E167" s="7"/>
      <c r="G167">
        <f t="shared" si="10"/>
        <v>0.60273972602739723</v>
      </c>
      <c r="I167" s="8" cm="1">
        <f t="array" ref="I167">BSCall(B167,6,0,0.2,G167)</f>
        <v>1.0422112260360743</v>
      </c>
      <c r="J167" cm="1">
        <f t="array" ref="J167">DeltaC(B167,6,G167,0,0,0.2)</f>
        <v>0.84713986873450697</v>
      </c>
      <c r="K167" cm="1">
        <f t="array" ref="K167">GammaCP(B167,6,G167,0,0,0.2)</f>
        <v>0.21878959114731264</v>
      </c>
      <c r="M167">
        <f t="shared" si="13"/>
        <v>1.0080354362858353</v>
      </c>
      <c r="V167" cm="1">
        <f t="array" ref="V167">BSCall(B167,6.5,0,0.2,G167)</f>
        <v>0.67915145732521509</v>
      </c>
      <c r="W167" cm="1">
        <f t="array" ref="W167">DeltaC(B167,6.5,G167,0,0,0.2)</f>
        <v>0.69453474697827089</v>
      </c>
      <c r="X167" cm="1">
        <f t="array" ref="X167">GammaCP(B167,6.5,G167,0,0,0.2)</f>
        <v>0.32480883977209923</v>
      </c>
      <c r="Z167">
        <f t="shared" si="11"/>
        <v>0.67359494064516667</v>
      </c>
      <c r="AA167">
        <f t="shared" si="12"/>
        <v>0.37930477706767274</v>
      </c>
      <c r="AC167">
        <f t="shared" si="14"/>
        <v>1.0419635513370082</v>
      </c>
    </row>
    <row r="168" spans="1:29" x14ac:dyDescent="0.3">
      <c r="A168" s="2">
        <v>43248</v>
      </c>
      <c r="B168">
        <v>6.5640000000000001</v>
      </c>
      <c r="C168" s="5">
        <v>0.64573999999999998</v>
      </c>
      <c r="D168" s="5">
        <v>0.27411000000000002</v>
      </c>
      <c r="E168" s="7"/>
      <c r="G168">
        <f t="shared" si="10"/>
        <v>0.59452054794520548</v>
      </c>
      <c r="I168" s="8" cm="1">
        <f t="array" ref="I168">BSCall(B168,6,0,0.2,G168)</f>
        <v>0.73164185367643331</v>
      </c>
      <c r="J168" cm="1">
        <f t="array" ref="J168">DeltaC(B168,6,G168,0,0,0.2)</f>
        <v>0.74527383803120084</v>
      </c>
      <c r="K168" cm="1">
        <f t="array" ref="K168">GammaCP(B168,6,G168,0,0,0.2)</f>
        <v>0.31704970599337479</v>
      </c>
      <c r="M168">
        <f t="shared" si="13"/>
        <v>0.68103944695431551</v>
      </c>
      <c r="V168" cm="1">
        <f t="array" ref="V168">BSCall(B168,6.5,0,0.2,G168)</f>
        <v>0.43426587990253207</v>
      </c>
      <c r="W168" cm="1">
        <f t="array" ref="W168">DeltaC(B168,6.5,G168,0,0,0.2)</f>
        <v>0.5559235137870393</v>
      </c>
      <c r="X168" cm="1">
        <f t="array" ref="X168">GammaCP(B168,6.5,G168,0,0,0.2)</f>
        <v>0.39024097601635865</v>
      </c>
      <c r="Z168">
        <f t="shared" si="11"/>
        <v>0.81244596410625081</v>
      </c>
      <c r="AA168">
        <f t="shared" si="12"/>
        <v>0.29361602290315508</v>
      </c>
      <c r="AC168">
        <f t="shared" si="14"/>
        <v>0.73059822139999686</v>
      </c>
    </row>
    <row r="169" spans="1:29" x14ac:dyDescent="0.3">
      <c r="A169" s="2">
        <v>43249</v>
      </c>
      <c r="B169">
        <v>6.25</v>
      </c>
      <c r="C169" s="5">
        <v>0.43479000000000001</v>
      </c>
      <c r="D169" s="5">
        <v>0.18587000000000001</v>
      </c>
      <c r="E169" s="7"/>
      <c r="G169">
        <f t="shared" si="10"/>
        <v>0.59178082191780823</v>
      </c>
      <c r="I169" s="8" cm="1">
        <f t="array" ref="I169">BSCall(B169,6,0,0.2,G169)</f>
        <v>0.51369145227354629</v>
      </c>
      <c r="J169" cm="1">
        <f t="array" ref="J169">DeltaC(B169,6,G169,0,0,0.2)</f>
        <v>0.63392077134909885</v>
      </c>
      <c r="K169" cm="1">
        <f t="array" ref="K169">GammaCP(B169,6,G169,0,0,0.2)</f>
        <v>0.39127599445863775</v>
      </c>
      <c r="M169">
        <f t="shared" si="13"/>
        <v>0.4470234618125184</v>
      </c>
      <c r="V169" cm="1">
        <f t="array" ref="V169">BSCall(B169,6.5,0,0.2,G169)</f>
        <v>0.27851233529649466</v>
      </c>
      <c r="W169" cm="1">
        <f t="array" ref="W169">DeltaC(B169,6.5,G169,0,0,0.2)</f>
        <v>0.4293640889891201</v>
      </c>
      <c r="X169" cm="1">
        <f t="array" ref="X169">GammaCP(B169,6.5,G169,0,0,0.2)</f>
        <v>0.40835702232647364</v>
      </c>
      <c r="Z169">
        <f t="shared" si="11"/>
        <v>0.95817133798624887</v>
      </c>
      <c r="AA169">
        <f t="shared" si="12"/>
        <v>0.22251640771914682</v>
      </c>
      <c r="AC169">
        <f t="shared" si="14"/>
        <v>0.51186145149798823</v>
      </c>
    </row>
    <row r="170" spans="1:29" x14ac:dyDescent="0.3">
      <c r="A170" s="2">
        <v>43250</v>
      </c>
      <c r="B170">
        <v>6.26</v>
      </c>
      <c r="C170" s="5">
        <v>0.49401</v>
      </c>
      <c r="D170" s="5">
        <v>0.28094999999999998</v>
      </c>
      <c r="E170" s="7"/>
      <c r="G170">
        <f t="shared" si="10"/>
        <v>0.58904109589041098</v>
      </c>
      <c r="I170" s="8" cm="1">
        <f t="array" ref="I170">BSCall(B170,6,0,0.2,G170)</f>
        <v>0.51921348020197522</v>
      </c>
      <c r="J170" cm="1">
        <f t="array" ref="J170">DeltaC(B170,6,G170,0,0,0.2)</f>
        <v>0.63799664561198188</v>
      </c>
      <c r="K170" cm="1">
        <f t="array" ref="K170">GammaCP(B170,6,G170,0,0,0.2)</f>
        <v>0.39008362718160194</v>
      </c>
      <c r="M170">
        <f t="shared" si="13"/>
        <v>0.45336266952600923</v>
      </c>
      <c r="V170" cm="1">
        <f t="array" ref="V170">BSCall(B170,6.5,0,0.2,G170)</f>
        <v>0.28194840942421173</v>
      </c>
      <c r="W170" cm="1">
        <f t="array" ref="W170">DeltaC(B170,6.5,G170,0,0,0.2)</f>
        <v>0.43315454112211993</v>
      </c>
      <c r="X170" cm="1">
        <f t="array" ref="X170">GammaCP(B170,6.5,G170,0,0,0.2)</f>
        <v>0.40933484738228082</v>
      </c>
      <c r="Z170">
        <f t="shared" si="11"/>
        <v>0.95296950571447436</v>
      </c>
      <c r="AA170">
        <f t="shared" si="12"/>
        <v>0.22521357666085529</v>
      </c>
      <c r="AC170">
        <f t="shared" si="14"/>
        <v>0.51737896331955424</v>
      </c>
    </row>
    <row r="171" spans="1:29" x14ac:dyDescent="0.3">
      <c r="A171" s="2">
        <v>43251</v>
      </c>
      <c r="B171">
        <v>6.1980000000000004</v>
      </c>
      <c r="C171" s="5">
        <v>0.48715000000000003</v>
      </c>
      <c r="D171" s="5">
        <v>0.31362000000000001</v>
      </c>
      <c r="E171" s="7"/>
      <c r="G171">
        <f t="shared" si="10"/>
        <v>0.58630136986301373</v>
      </c>
      <c r="I171" s="8" cm="1">
        <f t="array" ref="I171">BSCall(B171,6,0,0.2,G171)</f>
        <v>0.47956772731581543</v>
      </c>
      <c r="J171" cm="1">
        <f t="array" ref="J171">DeltaC(B171,6,G171,0,0,0.2)</f>
        <v>0.61354833001566877</v>
      </c>
      <c r="K171" cm="1">
        <f t="array" ref="K171">GammaCP(B171,6,G171,0,0,0.2)</f>
        <v>0.40316651397429298</v>
      </c>
      <c r="M171">
        <f t="shared" si="13"/>
        <v>0.41380687749806677</v>
      </c>
      <c r="V171" cm="1">
        <f t="array" ref="V171">BSCall(B171,6.5,0,0.2,G171)</f>
        <v>0.25501914342704612</v>
      </c>
      <c r="W171" cm="1">
        <f t="array" ref="W171">DeltaC(B171,6.5,G171,0,0,0.2)</f>
        <v>0.40745553100956872</v>
      </c>
      <c r="X171" cm="1">
        <f t="array" ref="X171">GammaCP(B171,6.5,G171,0,0,0.2)</f>
        <v>0.40894815340077822</v>
      </c>
      <c r="Z171">
        <f t="shared" si="11"/>
        <v>0.98586217011030464</v>
      </c>
      <c r="AA171">
        <f t="shared" si="12"/>
        <v>0.21185333599112882</v>
      </c>
      <c r="AC171">
        <f t="shared" si="14"/>
        <v>0.4777529522600088</v>
      </c>
    </row>
    <row r="172" spans="1:29" x14ac:dyDescent="0.3">
      <c r="A172" s="2">
        <v>43252</v>
      </c>
      <c r="B172">
        <v>6.29</v>
      </c>
      <c r="C172" s="5">
        <v>0.57564000000000004</v>
      </c>
      <c r="D172" s="5">
        <v>0.40622999999999998</v>
      </c>
      <c r="E172" s="7"/>
      <c r="G172">
        <f t="shared" si="10"/>
        <v>0.58356164383561648</v>
      </c>
      <c r="I172" s="8" cm="1">
        <f t="array" ref="I172">BSCall(B172,6,0,0.2,G172)</f>
        <v>0.53686040457954221</v>
      </c>
      <c r="J172" cm="1">
        <f t="array" ref="J172">DeltaC(B172,6,G172,0,0,0.2)</f>
        <v>0.65000640921414754</v>
      </c>
      <c r="K172" cm="1">
        <f t="array" ref="K172">GammaCP(B172,6,G172,0,0,0.2)</f>
        <v>0.38542768310418585</v>
      </c>
      <c r="M172">
        <f t="shared" si="13"/>
        <v>0.47025332385950808</v>
      </c>
      <c r="V172" cm="1">
        <f t="array" ref="V172">BSCall(B172,6.5,0,0.2,G172)</f>
        <v>0.29334852879829354</v>
      </c>
      <c r="W172" cm="1">
        <f t="array" ref="W172">DeltaC(B172,6.5,G172,0,0,0.2)</f>
        <v>0.44489804196316224</v>
      </c>
      <c r="X172" cm="1">
        <f t="array" ref="X172">GammaCP(B172,6.5,G172,0,0,0.2)</f>
        <v>0.41116575676804845</v>
      </c>
      <c r="Z172">
        <f t="shared" si="11"/>
        <v>0.93740219548880799</v>
      </c>
      <c r="AA172">
        <f t="shared" si="12"/>
        <v>0.23295800790920745</v>
      </c>
      <c r="AC172">
        <f t="shared" si="14"/>
        <v>0.53503095021228475</v>
      </c>
    </row>
    <row r="173" spans="1:29" x14ac:dyDescent="0.3">
      <c r="A173" s="2">
        <v>43255</v>
      </c>
      <c r="B173">
        <v>6.282</v>
      </c>
      <c r="C173" s="5">
        <v>0.57828999999999997</v>
      </c>
      <c r="D173" s="5">
        <v>0.42213000000000001</v>
      </c>
      <c r="E173" s="7"/>
      <c r="G173">
        <f t="shared" si="10"/>
        <v>0.57534246575342463</v>
      </c>
      <c r="I173" s="8" cm="1">
        <f t="array" ref="I173">BSCall(B173,6,0,0.2,G173)</f>
        <v>0.52915308312254528</v>
      </c>
      <c r="J173" cm="1">
        <f t="array" ref="J173">DeltaC(B173,6,G173,0,0,0.2)</f>
        <v>0.64751035926718403</v>
      </c>
      <c r="K173" cm="1">
        <f t="array" ref="K173">GammaCP(B173,6,G173,0,0,0.2)</f>
        <v>0.3896657471671966</v>
      </c>
      <c r="M173">
        <f t="shared" si="13"/>
        <v>0.46505327258579487</v>
      </c>
      <c r="V173" cm="1">
        <f t="array" ref="V173">BSCall(B173,6.5,0,0.2,G173)</f>
        <v>0.28712594338451014</v>
      </c>
      <c r="W173" cm="1">
        <f t="array" ref="W173">DeltaC(B173,6.5,G173,0,0,0.2)</f>
        <v>0.4407684178026926</v>
      </c>
      <c r="X173" cm="1">
        <f t="array" ref="X173">GammaCP(B173,6.5,G173,0,0,0.2)</f>
        <v>0.41399649039356151</v>
      </c>
      <c r="Z173">
        <f t="shared" si="11"/>
        <v>0.94122959061021227</v>
      </c>
      <c r="AA173">
        <f t="shared" si="12"/>
        <v>0.2326460818248447</v>
      </c>
      <c r="AC173">
        <f t="shared" si="14"/>
        <v>0.52733422092051396</v>
      </c>
    </row>
    <row r="174" spans="1:29" x14ac:dyDescent="0.3">
      <c r="A174" s="2">
        <v>43256</v>
      </c>
      <c r="B174">
        <v>6.2240000000000002</v>
      </c>
      <c r="C174" s="5">
        <v>0.54830999999999996</v>
      </c>
      <c r="D174" s="5">
        <v>0.41032000000000002</v>
      </c>
      <c r="E174" s="7"/>
      <c r="G174">
        <f t="shared" si="10"/>
        <v>0.57260273972602738</v>
      </c>
      <c r="I174" s="8" cm="1">
        <f t="array" ref="I174">BSCall(B174,6,0,0.2,G174)</f>
        <v>0.49140607056837204</v>
      </c>
      <c r="J174" cm="1">
        <f t="array" ref="J174">DeltaC(B174,6,G174,0,0,0.2)</f>
        <v>0.62470470867545014</v>
      </c>
      <c r="K174" cm="1">
        <f t="array" ref="K174">GammaCP(B174,6,G174,0,0,0.2)</f>
        <v>0.40266530196712347</v>
      </c>
      <c r="M174">
        <f t="shared" si="13"/>
        <v>0.42749767174829834</v>
      </c>
      <c r="V174" cm="1">
        <f t="array" ref="V174">BSCall(B174,6.5,0,0.2,G174)</f>
        <v>0.26137930396844178</v>
      </c>
      <c r="W174" cm="1">
        <f t="array" ref="W174">DeltaC(B174,6.5,G174,0,0,0.2)</f>
        <v>0.41643235341286133</v>
      </c>
      <c r="X174" cm="1">
        <f t="array" ref="X174">GammaCP(B174,6.5,G174,0,0,0.2)</f>
        <v>0.41420326028489041</v>
      </c>
      <c r="Z174">
        <f t="shared" si="11"/>
        <v>0.97214421173355547</v>
      </c>
      <c r="AA174">
        <f t="shared" si="12"/>
        <v>0.21987240672655467</v>
      </c>
      <c r="AC174">
        <f t="shared" si="14"/>
        <v>0.48960724929749816</v>
      </c>
    </row>
    <row r="175" spans="1:29" x14ac:dyDescent="0.3">
      <c r="A175" s="2">
        <v>43257</v>
      </c>
      <c r="B175">
        <v>6.2619999999999996</v>
      </c>
      <c r="C175" s="5">
        <v>0.58418000000000003</v>
      </c>
      <c r="D175" s="5">
        <v>0.44744</v>
      </c>
      <c r="E175" s="7"/>
      <c r="G175">
        <f t="shared" si="10"/>
        <v>0.56986301369863013</v>
      </c>
      <c r="I175" s="8" cm="1">
        <f t="array" ref="I175">BSCall(B175,6,0,0.2,G175)</f>
        <v>0.5145844485773825</v>
      </c>
      <c r="J175" cm="1">
        <f t="array" ref="J175">DeltaC(B175,6,G175,0,0,0.2)</f>
        <v>0.64004417476283071</v>
      </c>
      <c r="K175" cm="1">
        <f t="array" ref="K175">GammaCP(B175,6,G175,0,0,0.2)</f>
        <v>0.39569589936389077</v>
      </c>
      <c r="M175">
        <f t="shared" si="13"/>
        <v>0.45123645067796503</v>
      </c>
      <c r="V175" cm="1">
        <f t="array" ref="V175">BSCall(B175,6.5,0,0.2,G175)</f>
        <v>0.27661058698680963</v>
      </c>
      <c r="W175" cm="1">
        <f t="array" ref="W175">DeltaC(B175,6.5,G175,0,0,0.2)</f>
        <v>0.43188283681271578</v>
      </c>
      <c r="X175" cm="1">
        <f t="array" ref="X175">GammaCP(B175,6.5,G175,0,0,0.2)</f>
        <v>0.4158041577832714</v>
      </c>
      <c r="Z175">
        <f t="shared" si="11"/>
        <v>0.95164007371503578</v>
      </c>
      <c r="AA175">
        <f t="shared" si="12"/>
        <v>0.22904716010211912</v>
      </c>
      <c r="AC175">
        <f t="shared" si="14"/>
        <v>0.51276940437668905</v>
      </c>
    </row>
    <row r="176" spans="1:29" x14ac:dyDescent="0.3">
      <c r="A176" s="2">
        <v>43258</v>
      </c>
      <c r="B176">
        <v>6.34</v>
      </c>
      <c r="C176" s="5">
        <v>0.63724999999999998</v>
      </c>
      <c r="D176" s="5">
        <v>0.4929</v>
      </c>
      <c r="E176" s="7"/>
      <c r="G176">
        <f t="shared" si="10"/>
        <v>0.56712328767123288</v>
      </c>
      <c r="I176" s="8" cm="1">
        <f t="array" ref="I176">BSCall(B176,6,0,0.2,G176)</f>
        <v>0.56486037141805934</v>
      </c>
      <c r="J176" cm="1">
        <f t="array" ref="J176">DeltaC(B176,6,G176,0,0,0.2)</f>
        <v>0.67049076254701445</v>
      </c>
      <c r="K176" cm="1">
        <f t="array" ref="K176">GammaCP(B176,6,G176,0,0,0.2)</f>
        <v>0.37902650331272625</v>
      </c>
      <c r="M176">
        <f t="shared" si="13"/>
        <v>0.501159896309466</v>
      </c>
      <c r="V176" cm="1">
        <f t="array" ref="V176">BSCall(B176,6.5,0,0.2,G176)</f>
        <v>0.31064697107713979</v>
      </c>
      <c r="W176" cm="1">
        <f t="array" ref="W176">DeltaC(B176,6.5,G176,0,0,0.2)</f>
        <v>0.46407613519790641</v>
      </c>
      <c r="X176" cm="1">
        <f t="array" ref="X176">GammaCP(B176,6.5,G176,0,0,0.2)</f>
        <v>0.4160892881117107</v>
      </c>
      <c r="Z176">
        <f t="shared" si="11"/>
        <v>0.91092588572231181</v>
      </c>
      <c r="AA176">
        <f t="shared" si="12"/>
        <v>0.24775179804927422</v>
      </c>
      <c r="AC176">
        <f t="shared" si="14"/>
        <v>0.56302546992936953</v>
      </c>
    </row>
    <row r="177" spans="1:29" x14ac:dyDescent="0.3">
      <c r="A177" s="2">
        <v>43259</v>
      </c>
      <c r="B177">
        <v>6.28</v>
      </c>
      <c r="C177" s="5">
        <v>0.59104000000000001</v>
      </c>
      <c r="D177" s="5">
        <v>0.45651999999999998</v>
      </c>
      <c r="E177" s="7"/>
      <c r="G177">
        <f t="shared" si="10"/>
        <v>0.56438356164383563</v>
      </c>
      <c r="I177" s="8" cm="1">
        <f t="array" ref="I177">BSCall(B177,6,0,0.2,G177)</f>
        <v>0.52447198880859425</v>
      </c>
      <c r="J177" cm="1">
        <f t="array" ref="J177">DeltaC(B177,6,G177,0,0,0.2)</f>
        <v>0.64754011266209111</v>
      </c>
      <c r="K177" cm="1">
        <f t="array" ref="K177">GammaCP(B177,6,G177,0,0,0.2)</f>
        <v>0.39354407772381472</v>
      </c>
      <c r="M177">
        <f t="shared" si="13"/>
        <v>0.46093045055664539</v>
      </c>
      <c r="V177" cm="1">
        <f t="array" ref="V177">BSCall(B177,6.5,0,0.2,G177)</f>
        <v>0.2826502138714404</v>
      </c>
      <c r="W177" cm="1">
        <f t="array" ref="W177">DeltaC(B177,6.5,G177,0,0,0.2)</f>
        <v>0.43878943496489753</v>
      </c>
      <c r="X177" cm="1">
        <f t="array" ref="X177">GammaCP(B177,6.5,G177,0,0,0.2)</f>
        <v>0.41781186224825112</v>
      </c>
      <c r="Z177">
        <f t="shared" si="11"/>
        <v>0.94191695660852914</v>
      </c>
      <c r="AA177">
        <f t="shared" si="12"/>
        <v>0.23423690348797871</v>
      </c>
      <c r="AC177">
        <f t="shared" si="14"/>
        <v>0.52265739119145893</v>
      </c>
    </row>
    <row r="178" spans="1:29" x14ac:dyDescent="0.3">
      <c r="A178" s="2">
        <v>43262</v>
      </c>
      <c r="B178">
        <v>6.4459999999999997</v>
      </c>
      <c r="C178" s="5">
        <v>0.70065</v>
      </c>
      <c r="D178" s="5">
        <v>0.54156000000000004</v>
      </c>
      <c r="E178" s="7"/>
      <c r="G178">
        <f t="shared" si="10"/>
        <v>0.55616438356164388</v>
      </c>
      <c r="I178" s="8" cm="1">
        <f t="array" ref="I178">BSCall(B178,6,0,0.2,G178)</f>
        <v>0.63478727990929151</v>
      </c>
      <c r="J178" cm="1">
        <f t="array" ref="J178">DeltaC(B178,6,G178,0,0,0.2)</f>
        <v>0.71065301212949938</v>
      </c>
      <c r="K178" cm="1">
        <f t="array" ref="K178">GammaCP(B178,6,G178,0,0,0.2)</f>
        <v>0.35565642568211642</v>
      </c>
      <c r="M178">
        <f t="shared" si="13"/>
        <v>0.56842210925855219</v>
      </c>
      <c r="V178" cm="1">
        <f t="array" ref="V178">BSCall(B178,6.5,0,0.2,G178)</f>
        <v>0.35840929793130227</v>
      </c>
      <c r="W178" cm="1">
        <f t="array" ref="W178">DeltaC(B178,6.5,G178,0,0,0.2)</f>
        <v>0.50743768502858866</v>
      </c>
      <c r="X178" cm="1">
        <f t="array" ref="X178">GammaCP(B178,6.5,G178,0,0,0.2)</f>
        <v>0.4148706362216294</v>
      </c>
      <c r="Z178">
        <f t="shared" si="11"/>
        <v>0.85727066374521632</v>
      </c>
      <c r="AA178">
        <f t="shared" si="12"/>
        <v>0.27564157107570514</v>
      </c>
      <c r="AC178">
        <f t="shared" si="14"/>
        <v>0.63289948306357813</v>
      </c>
    </row>
    <row r="179" spans="1:29" x14ac:dyDescent="0.3">
      <c r="A179" s="2">
        <v>43263</v>
      </c>
      <c r="B179">
        <v>6.4260000000000002</v>
      </c>
      <c r="C179" s="5">
        <v>0.66898999999999997</v>
      </c>
      <c r="D179" s="5">
        <v>0.50731000000000004</v>
      </c>
      <c r="E179" s="7"/>
      <c r="G179">
        <f t="shared" si="10"/>
        <v>0.55342465753424652</v>
      </c>
      <c r="I179" s="8" cm="1">
        <f t="array" ref="I179">BSCall(B179,6,0,0.2,G179)</f>
        <v>0.61982844854779762</v>
      </c>
      <c r="J179" cm="1">
        <f t="array" ref="J179">DeltaC(B179,6,G179,0,0,0.2)</f>
        <v>0.70381748455274618</v>
      </c>
      <c r="K179" cm="1">
        <f t="array" ref="K179">GammaCP(B179,6,G179,0,0,0.2)</f>
        <v>0.36154418077892309</v>
      </c>
      <c r="M179">
        <f t="shared" si="13"/>
        <v>0.55420904901596246</v>
      </c>
      <c r="V179" cm="1">
        <f t="array" ref="V179">BSCall(B179,6.5,0,0.2,G179)</f>
        <v>0.3474006571090511</v>
      </c>
      <c r="W179" cm="1">
        <f t="array" ref="W179">DeltaC(B179,6.5,G179,0,0,0.2)</f>
        <v>0.4989772787381116</v>
      </c>
      <c r="X179" cm="1">
        <f t="array" ref="X179">GammaCP(B179,6.5,G179,0,0,0.2)</f>
        <v>0.41726184050587245</v>
      </c>
      <c r="Z179">
        <f t="shared" si="11"/>
        <v>0.86646835555487323</v>
      </c>
      <c r="AA179">
        <f t="shared" si="12"/>
        <v>0.27146946238528902</v>
      </c>
      <c r="AC179">
        <f t="shared" si="14"/>
        <v>0.61794926681744022</v>
      </c>
    </row>
    <row r="180" spans="1:29" x14ac:dyDescent="0.3">
      <c r="A180" s="2">
        <v>43264</v>
      </c>
      <c r="B180">
        <v>6.3780000000000001</v>
      </c>
      <c r="C180" s="5">
        <v>0.62409000000000003</v>
      </c>
      <c r="D180" s="5">
        <v>0.46793000000000001</v>
      </c>
      <c r="E180" s="7"/>
      <c r="G180">
        <f t="shared" si="10"/>
        <v>0.55068493150684927</v>
      </c>
      <c r="I180" s="8" cm="1">
        <f t="array" ref="I180">BSCall(B180,6,0,0.2,G180)</f>
        <v>0.58563248683039681</v>
      </c>
      <c r="J180" cm="1">
        <f t="array" ref="J180">DeltaC(B180,6,G180,0,0,0.2)</f>
        <v>0.68646500725601156</v>
      </c>
      <c r="K180" cm="1">
        <f t="array" ref="K180">GammaCP(B180,6,G180,0,0,0.2)</f>
        <v>0.37452882849732211</v>
      </c>
      <c r="M180">
        <f t="shared" si="13"/>
        <v>0.52042580975743058</v>
      </c>
      <c r="V180" cm="1">
        <f t="array" ref="V180">BSCall(B180,6.5,0,0.2,G180)</f>
        <v>0.32299460569996352</v>
      </c>
      <c r="W180" cm="1">
        <f t="array" ref="W180">DeltaC(B180,6.5,G180,0,0,0.2)</f>
        <v>0.47868384248821061</v>
      </c>
      <c r="X180" cm="1">
        <f t="array" ref="X180">GammaCP(B180,6.5,G180,0,0,0.2)</f>
        <v>0.42084621413985362</v>
      </c>
      <c r="Z180">
        <f t="shared" si="11"/>
        <v>0.88994225423365803</v>
      </c>
      <c r="AA180">
        <f t="shared" si="12"/>
        <v>0.26046402940682412</v>
      </c>
      <c r="AC180">
        <f t="shared" si="14"/>
        <v>0.58377166139292658</v>
      </c>
    </row>
    <row r="181" spans="1:29" x14ac:dyDescent="0.3">
      <c r="A181" s="2">
        <v>43265</v>
      </c>
      <c r="B181">
        <v>6.39</v>
      </c>
      <c r="C181" s="5">
        <v>0.62949999999999995</v>
      </c>
      <c r="D181" s="5">
        <v>0.47150999999999998</v>
      </c>
      <c r="E181" s="7"/>
      <c r="G181">
        <f t="shared" si="10"/>
        <v>0.54794520547945202</v>
      </c>
      <c r="I181" s="8" cm="1">
        <f t="array" ref="I181">BSCall(B181,6,0,0.2,G181)</f>
        <v>0.59306491501543768</v>
      </c>
      <c r="J181" cm="1">
        <f t="array" ref="J181">DeltaC(B181,6,G181,0,0,0.2)</f>
        <v>0.69124931172261306</v>
      </c>
      <c r="K181" cm="1">
        <f t="array" ref="K181">GammaCP(B181,6,G181,0,0,0.2)</f>
        <v>0.37226756906595898</v>
      </c>
      <c r="M181">
        <f t="shared" si="13"/>
        <v>0.52866338984450245</v>
      </c>
      <c r="V181" cm="1">
        <f t="array" ref="V181">BSCall(B181,6.5,0,0.2,G181)</f>
        <v>0.32782755294314425</v>
      </c>
      <c r="W181" cm="1">
        <f t="array" ref="W181">DeltaC(B181,6.5,G181,0,0,0.2)</f>
        <v>0.48354269531760341</v>
      </c>
      <c r="X181" cm="1">
        <f t="array" ref="X181">GammaCP(B181,6.5,G181,0,0,0.2)</f>
        <v>0.42134796914364381</v>
      </c>
      <c r="Z181">
        <f t="shared" si="11"/>
        <v>0.88351575497696877</v>
      </c>
      <c r="AA181">
        <f t="shared" si="12"/>
        <v>0.26403172220548232</v>
      </c>
      <c r="AC181">
        <f t="shared" si="14"/>
        <v>0.591198273709997</v>
      </c>
    </row>
    <row r="182" spans="1:29" x14ac:dyDescent="0.3">
      <c r="A182" s="2">
        <v>43266</v>
      </c>
      <c r="B182">
        <v>6.2439999999999998</v>
      </c>
      <c r="C182" s="5">
        <v>0.52988999999999997</v>
      </c>
      <c r="D182" s="5">
        <v>0.39641999999999999</v>
      </c>
      <c r="E182" s="7"/>
      <c r="G182">
        <f t="shared" si="10"/>
        <v>0.54520547945205478</v>
      </c>
      <c r="I182" s="8" cm="1">
        <f t="array" ref="I182">BSCall(B182,6,0,0.2,G182)</f>
        <v>0.49536778207413157</v>
      </c>
      <c r="J182" cm="1">
        <f t="array" ref="J182">DeltaC(B182,6,G182,0,0,0.2)</f>
        <v>0.63448793219240307</v>
      </c>
      <c r="K182" cm="1">
        <f t="array" ref="K182">GammaCP(B182,6,G182,0,0,0.2)</f>
        <v>0.40782707165180904</v>
      </c>
      <c r="M182">
        <f t="shared" si="13"/>
        <v>0.427740990333001</v>
      </c>
      <c r="V182" cm="1">
        <f t="array" ref="V182">BSCall(B182,6.5,0,0.2,G182)</f>
        <v>0.26083162674079841</v>
      </c>
      <c r="W182" cm="1">
        <f t="array" ref="W182">DeltaC(B182,6.5,G182,0,0,0.2)</f>
        <v>0.42142397859110903</v>
      </c>
      <c r="X182" cm="1">
        <f t="array" ref="X182">GammaCP(B182,6.5,G182,0,0,0.2)</f>
        <v>0.42423095220750978</v>
      </c>
      <c r="Z182">
        <f t="shared" si="11"/>
        <v>0.96133266450658017</v>
      </c>
      <c r="AA182">
        <f t="shared" si="12"/>
        <v>0.22935929596644822</v>
      </c>
      <c r="AC182">
        <f t="shared" si="14"/>
        <v>0.49345768594894973</v>
      </c>
    </row>
    <row r="183" spans="1:29" x14ac:dyDescent="0.3">
      <c r="A183" s="2">
        <v>43269</v>
      </c>
      <c r="B183">
        <v>6.1879999999999997</v>
      </c>
      <c r="C183" s="5">
        <v>0.51007000000000002</v>
      </c>
      <c r="D183" s="5">
        <v>0.38800000000000001</v>
      </c>
      <c r="E183" s="7"/>
      <c r="G183">
        <f t="shared" si="10"/>
        <v>0.53698630136986303</v>
      </c>
      <c r="I183" s="8" cm="1">
        <f t="array" ref="I183">BSCall(B183,6,0,0.2,G183)</f>
        <v>0.45783225012719786</v>
      </c>
      <c r="J183" cm="1">
        <f t="array" ref="J183">DeltaC(B183,6,G183,0,0,0.2)</f>
        <v>0.61171511604567086</v>
      </c>
      <c r="K183" cm="1">
        <f t="array" ref="K183">GammaCP(B183,6,G183,0,0,0.2)</f>
        <v>0.42253197164665829</v>
      </c>
      <c r="M183">
        <f t="shared" si="13"/>
        <v>0.3922096661302264</v>
      </c>
      <c r="V183" cm="1">
        <f t="array" ref="V183">BSCall(B183,6.5,0,0.2,G183)</f>
        <v>0.2352300407900727</v>
      </c>
      <c r="W183" cm="1">
        <f t="array" ref="W183">DeltaC(B183,6.5,G183,0,0,0.2)</f>
        <v>0.39652358974690882</v>
      </c>
      <c r="X183" cm="1">
        <f t="array" ref="X183">GammaCP(B183,6.5,G183,0,0,0.2)</f>
        <v>0.4250125939061134</v>
      </c>
      <c r="Z183">
        <f t="shared" si="11"/>
        <v>0.99416341469635816</v>
      </c>
      <c r="AA183">
        <f t="shared" si="12"/>
        <v>0.21750587005522615</v>
      </c>
      <c r="AC183">
        <f t="shared" si="14"/>
        <v>0.45600192453722327</v>
      </c>
    </row>
    <row r="184" spans="1:29" x14ac:dyDescent="0.3">
      <c r="A184" s="2">
        <v>43270</v>
      </c>
      <c r="B184">
        <v>6.1580000000000004</v>
      </c>
      <c r="C184" s="5">
        <v>0.50927</v>
      </c>
      <c r="D184" s="5">
        <v>0.39467999999999998</v>
      </c>
      <c r="E184" s="7"/>
      <c r="G184">
        <f t="shared" si="10"/>
        <v>0.53424657534246578</v>
      </c>
      <c r="I184" s="8" cm="1">
        <f t="array" ref="I184">BSCall(B184,6,0,0.2,G184)</f>
        <v>0.43878062470023727</v>
      </c>
      <c r="J184" cm="1">
        <f t="array" ref="J184">DeltaC(B184,6,G184,0,0,0.2)</f>
        <v>0.5990539159043663</v>
      </c>
      <c r="K184" cm="1">
        <f t="array" ref="K184">GammaCP(B184,6,G184,0,0,0.2)</f>
        <v>0.42943755573744219</v>
      </c>
      <c r="M184">
        <f t="shared" si="13"/>
        <v>0.37385821264885666</v>
      </c>
      <c r="V184" cm="1">
        <f t="array" ref="V184">BSCall(B184,6.5,0,0.2,G184)</f>
        <v>0.22264510089873557</v>
      </c>
      <c r="W184" cm="1">
        <f t="array" ref="W184">DeltaC(B184,6.5,G184,0,0,0.2)</f>
        <v>0.38336788624928053</v>
      </c>
      <c r="X184" cm="1">
        <f t="array" ref="X184">GammaCP(B184,6.5,G184,0,0,0.2)</f>
        <v>0.42409254040530792</v>
      </c>
      <c r="Z184">
        <f t="shared" si="11"/>
        <v>1.0126034174688052</v>
      </c>
      <c r="AA184">
        <f t="shared" si="12"/>
        <v>0.21085428414055263</v>
      </c>
      <c r="AC184">
        <f t="shared" si="14"/>
        <v>0.43696526161944649</v>
      </c>
    </row>
    <row r="185" spans="1:29" x14ac:dyDescent="0.3">
      <c r="A185" s="2">
        <v>43271</v>
      </c>
      <c r="B185">
        <v>6.16</v>
      </c>
      <c r="C185" s="5">
        <v>0.52542999999999995</v>
      </c>
      <c r="D185" s="5">
        <v>0.41291</v>
      </c>
      <c r="E185" s="7"/>
      <c r="G185">
        <f t="shared" si="10"/>
        <v>0.53150684931506853</v>
      </c>
      <c r="I185" s="8" cm="1">
        <f t="array" ref="I185">BSCall(B185,6,0,0.2,G185)</f>
        <v>0.43908637379959448</v>
      </c>
      <c r="J185" cm="1">
        <f t="array" ref="J185">DeltaC(B185,6,G185,0,0,0.2)</f>
        <v>0.60001894299792102</v>
      </c>
      <c r="K185" cm="1">
        <f t="array" ref="K185">GammaCP(B185,6,G185,0,0,0.2)</f>
        <v>0.43013223182892407</v>
      </c>
      <c r="M185">
        <f t="shared" si="13"/>
        <v>0.37505632048066528</v>
      </c>
      <c r="V185" cm="1">
        <f t="array" ref="V185">BSCall(B185,6.5,0,0.2,G185)</f>
        <v>0.22252962819606248</v>
      </c>
      <c r="W185" cm="1">
        <f t="array" ref="W185">DeltaC(B185,6.5,G185,0,0,0.2)</f>
        <v>0.38378320723402987</v>
      </c>
      <c r="X185" cm="1">
        <f t="array" ref="X185">GammaCP(B185,6.5,G185,0,0,0.2)</f>
        <v>0.42518302921742768</v>
      </c>
      <c r="Z185">
        <f t="shared" si="11"/>
        <v>1.0116401696949326</v>
      </c>
      <c r="AA185">
        <f t="shared" si="12"/>
        <v>0.21176843410562157</v>
      </c>
      <c r="AC185">
        <f t="shared" si="14"/>
        <v>0.43727004213437642</v>
      </c>
    </row>
    <row r="186" spans="1:29" x14ac:dyDescent="0.3">
      <c r="A186" s="2">
        <v>43272</v>
      </c>
      <c r="B186">
        <v>6.0640000000000001</v>
      </c>
      <c r="C186" s="5">
        <v>0.47960999999999998</v>
      </c>
      <c r="D186" s="5">
        <v>0.38191000000000003</v>
      </c>
      <c r="E186" s="7"/>
      <c r="G186">
        <f t="shared" si="10"/>
        <v>0.52876712328767128</v>
      </c>
      <c r="I186" s="8" cm="1">
        <f t="array" ref="I186">BSCall(B186,6,0,0.2,G186)</f>
        <v>0.38259257031077043</v>
      </c>
      <c r="J186" cm="1">
        <f t="array" ref="J186">DeltaC(B186,6,G186,0,0,0.2)</f>
        <v>0.55790995068058491</v>
      </c>
      <c r="K186" cm="1">
        <f t="array" ref="K186">GammaCP(B186,6,G186,0,0,0.2)</f>
        <v>0.44759033551230298</v>
      </c>
      <c r="M186">
        <f t="shared" si="13"/>
        <v>0.31745450195286484</v>
      </c>
      <c r="V186" cm="1">
        <f t="array" ref="V186">BSCall(B186,6.5,0,0.2,G186)</f>
        <v>0.18679440787403756</v>
      </c>
      <c r="W186" cm="1">
        <f t="array" ref="W186">DeltaC(B186,6.5,G186,0,0,0.2)</f>
        <v>0.34284762606667374</v>
      </c>
      <c r="X186" cm="1">
        <f t="array" ref="X186">GammaCP(B186,6.5,G186,0,0,0.2)</f>
        <v>0.41679563230794398</v>
      </c>
      <c r="Z186">
        <f t="shared" si="11"/>
        <v>1.0738844191668657</v>
      </c>
      <c r="AA186">
        <f t="shared" si="12"/>
        <v>0.18973122689923622</v>
      </c>
      <c r="AC186">
        <f t="shared" si="14"/>
        <v>0.38078908810957762</v>
      </c>
    </row>
    <row r="187" spans="1:29" x14ac:dyDescent="0.3">
      <c r="A187" s="2">
        <v>43273</v>
      </c>
      <c r="B187">
        <v>6.1079999999999997</v>
      </c>
      <c r="C187" s="5">
        <v>0.52344999999999997</v>
      </c>
      <c r="D187" s="5">
        <v>0.42120000000000002</v>
      </c>
      <c r="E187" s="7"/>
      <c r="G187">
        <f t="shared" si="10"/>
        <v>0.52602739726027392</v>
      </c>
      <c r="I187" s="8" cm="1">
        <f t="array" ref="I187">BSCall(B187,6,0,0.2,G187)</f>
        <v>0.40666981281230985</v>
      </c>
      <c r="J187" cm="1">
        <f t="array" ref="J187">DeltaC(B187,6,G187,0,0,0.2)</f>
        <v>0.57750494407934438</v>
      </c>
      <c r="K187" cm="1">
        <f t="array" ref="K187">GammaCP(B187,6,G187,0,0,0.2)</f>
        <v>0.44174963410518958</v>
      </c>
      <c r="M187">
        <f t="shared" si="13"/>
        <v>0.34200253978281037</v>
      </c>
      <c r="V187" cm="1">
        <f t="array" ref="V187">BSCall(B187,6.5,0,0.2,G187)</f>
        <v>0.20142187579146409</v>
      </c>
      <c r="W187" cm="1">
        <f t="array" ref="W187">DeltaC(B187,6.5,G187,0,0,0.2)</f>
        <v>0.36081061415507099</v>
      </c>
      <c r="X187" cm="1">
        <f t="array" ref="X187">GammaCP(B187,6.5,G187,0,0,0.2)</f>
        <v>0.42258218453207852</v>
      </c>
      <c r="Z187">
        <f t="shared" si="11"/>
        <v>1.0453579215468702</v>
      </c>
      <c r="AA187">
        <f t="shared" si="12"/>
        <v>0.20032871039414962</v>
      </c>
      <c r="AC187">
        <f t="shared" si="14"/>
        <v>0.40484547198153148</v>
      </c>
    </row>
    <row r="188" spans="1:29" x14ac:dyDescent="0.3">
      <c r="A188" s="2">
        <v>43276</v>
      </c>
      <c r="B188">
        <v>6.0019999999999998</v>
      </c>
      <c r="C188" s="5">
        <v>0.46884999999999999</v>
      </c>
      <c r="D188" s="5">
        <v>0.38024999999999998</v>
      </c>
      <c r="E188" s="7"/>
      <c r="G188">
        <f t="shared" si="10"/>
        <v>0.51780821917808217</v>
      </c>
      <c r="I188" s="8" cm="1">
        <f t="array" ref="I188">BSCall(B188,6,0,0.2,G188)</f>
        <v>0.34525055402683291</v>
      </c>
      <c r="J188" cm="1">
        <f t="array" ref="J188">DeltaC(B188,6,G188,0,0,0.2)</f>
        <v>0.52960407362760553</v>
      </c>
      <c r="K188" cm="1">
        <f t="array" ref="K188">GammaCP(B188,6,G188,0,0,0.2)</f>
        <v>0.46057638643801441</v>
      </c>
      <c r="M188">
        <f t="shared" si="13"/>
        <v>0.28078701571039993</v>
      </c>
      <c r="V188" cm="1">
        <f t="array" ref="V188">BSCall(B188,6.5,0,0.2,G188)</f>
        <v>0.16309882334476344</v>
      </c>
      <c r="W188" cm="1">
        <f t="array" ref="W188">DeltaC(B188,6.5,G188,0,0,0.2)</f>
        <v>0.31494025770089706</v>
      </c>
      <c r="X188" cm="1">
        <f t="array" ref="X188">GammaCP(B188,6.5,G188,0,0,0.2)</f>
        <v>0.41121889726919547</v>
      </c>
      <c r="Z188">
        <f t="shared" si="11"/>
        <v>1.1200272883775284</v>
      </c>
      <c r="AA188">
        <f t="shared" si="12"/>
        <v>0.17686239079394978</v>
      </c>
      <c r="AC188">
        <f t="shared" si="14"/>
        <v>0.34354932222673695</v>
      </c>
    </row>
    <row r="189" spans="1:29" x14ac:dyDescent="0.3">
      <c r="A189" s="2">
        <v>43277</v>
      </c>
      <c r="B189">
        <v>6.0179999999999998</v>
      </c>
      <c r="C189" s="5">
        <v>0.49490000000000001</v>
      </c>
      <c r="D189" s="5">
        <v>0.40494000000000002</v>
      </c>
      <c r="E189" s="7"/>
      <c r="G189">
        <f t="shared" si="10"/>
        <v>0.51506849315068493</v>
      </c>
      <c r="I189" s="8" cm="1">
        <f t="array" ref="I189">BSCall(B189,6,0,0.2,G189)</f>
        <v>0.35287172291074231</v>
      </c>
      <c r="J189" cm="1">
        <f t="array" ref="J189">DeltaC(B189,6,G189,0,0,0.2)</f>
        <v>0.53690425809318176</v>
      </c>
      <c r="K189" cm="1">
        <f t="array" ref="K189">GammaCP(B189,6,G189,0,0,0.2)</f>
        <v>0.45986663076587903</v>
      </c>
      <c r="M189">
        <f t="shared" si="13"/>
        <v>0.28926068088844165</v>
      </c>
      <c r="V189" cm="1">
        <f t="array" ref="V189">BSCall(B189,6.5,0,0.2,G189)</f>
        <v>0.16736880695860701</v>
      </c>
      <c r="W189" cm="1">
        <f t="array" ref="W189">DeltaC(B189,6.5,G189,0,0,0.2)</f>
        <v>0.32096239694821449</v>
      </c>
      <c r="X189" cm="1">
        <f t="array" ref="X189">GammaCP(B189,6.5,G189,0,0,0.2)</f>
        <v>0.41451557490692925</v>
      </c>
      <c r="Z189">
        <f t="shared" si="11"/>
        <v>1.1094073627248684</v>
      </c>
      <c r="AA189">
        <f t="shared" si="12"/>
        <v>0.18082621176101077</v>
      </c>
      <c r="AC189">
        <f t="shared" si="14"/>
        <v>0.35116161864786982</v>
      </c>
    </row>
    <row r="190" spans="1:29" x14ac:dyDescent="0.3">
      <c r="A190" s="2">
        <v>43278</v>
      </c>
      <c r="B190">
        <v>6.0060000000000002</v>
      </c>
      <c r="C190" s="5">
        <v>0.49713000000000002</v>
      </c>
      <c r="D190" s="5">
        <v>0.40927000000000002</v>
      </c>
      <c r="E190" s="7"/>
      <c r="G190">
        <f t="shared" si="10"/>
        <v>0.51232876712328768</v>
      </c>
      <c r="I190" s="8" cm="1">
        <f t="array" ref="I190">BSCall(B190,6,0,0.2,G190)</f>
        <v>0.3455489446548059</v>
      </c>
      <c r="J190" cm="1">
        <f t="array" ref="J190">DeltaC(B190,6,G190,0,0,0.2)</f>
        <v>0.5313083495363945</v>
      </c>
      <c r="K190" cm="1">
        <f t="array" ref="K190">GammaCP(B190,6,G190,0,0,0.2)</f>
        <v>0.46257295682219507</v>
      </c>
      <c r="M190">
        <f t="shared" si="13"/>
        <v>0.28281782979132369</v>
      </c>
      <c r="V190" cm="1">
        <f t="array" ref="V190">BSCall(B190,6.5,0,0.2,G190)</f>
        <v>0.16273071855147969</v>
      </c>
      <c r="W190" cm="1">
        <f t="array" ref="W190">DeltaC(B190,6.5,G190,0,0,0.2)</f>
        <v>0.31540865001416568</v>
      </c>
      <c r="X190" cm="1">
        <f t="array" ref="X190">GammaCP(B190,6.5,G190,0,0,0.2)</f>
        <v>0.41339891456398054</v>
      </c>
      <c r="Z190">
        <f t="shared" si="11"/>
        <v>1.1189505838690441</v>
      </c>
      <c r="AA190">
        <f t="shared" si="12"/>
        <v>0.17838165644569681</v>
      </c>
      <c r="AC190">
        <f t="shared" si="14"/>
        <v>0.34384617467890183</v>
      </c>
    </row>
    <row r="191" spans="1:29" x14ac:dyDescent="0.3">
      <c r="A191" s="2">
        <v>43279</v>
      </c>
      <c r="B191">
        <v>5.98</v>
      </c>
      <c r="C191" s="5">
        <v>0.49009999999999998</v>
      </c>
      <c r="D191" s="5">
        <v>0.40570000000000001</v>
      </c>
      <c r="E191" s="7"/>
      <c r="G191">
        <f t="shared" si="10"/>
        <v>0.50958904109589043</v>
      </c>
      <c r="I191" s="8" cm="1">
        <f t="array" ref="I191">BSCall(B191,6,0,0.2,G191)</f>
        <v>0.3309782958796661</v>
      </c>
      <c r="J191" cm="1">
        <f t="array" ref="J191">DeltaC(B191,6,G191,0,0,0.2)</f>
        <v>0.51914151869880265</v>
      </c>
      <c r="K191" cm="1">
        <f t="array" ref="K191">GammaCP(B191,6,G191,0,0,0.2)</f>
        <v>0.46673305314050162</v>
      </c>
      <c r="M191">
        <f t="shared" si="13"/>
        <v>0.26900381270337753</v>
      </c>
      <c r="V191" cm="1">
        <f t="array" ref="V191">BSCall(B191,6.5,0,0.2,G191)</f>
        <v>0.15386718774326313</v>
      </c>
      <c r="W191" cm="1">
        <f t="array" ref="W191">DeltaC(B191,6.5,G191,0,0,0.2)</f>
        <v>0.30410232628109279</v>
      </c>
      <c r="X191" cm="1">
        <f t="array" ref="X191">GammaCP(B191,6.5,G191,0,0,0.2)</f>
        <v>0.40973500997403461</v>
      </c>
      <c r="Z191">
        <f t="shared" si="11"/>
        <v>1.1391095263499182</v>
      </c>
      <c r="AA191">
        <f t="shared" si="12"/>
        <v>0.17273566184683875</v>
      </c>
      <c r="AC191">
        <f t="shared" si="14"/>
        <v>0.32929039863831855</v>
      </c>
    </row>
    <row r="192" spans="1:29" x14ac:dyDescent="0.3">
      <c r="A192" s="2">
        <v>43280</v>
      </c>
      <c r="B192">
        <v>6.0780000000000003</v>
      </c>
      <c r="C192" s="5">
        <v>0.55164000000000002</v>
      </c>
      <c r="D192" s="5">
        <v>0.45615</v>
      </c>
      <c r="E192" s="7"/>
      <c r="G192">
        <f t="shared" si="10"/>
        <v>0.50684931506849318</v>
      </c>
      <c r="I192" s="8" cm="1">
        <f t="array" ref="I192">BSCall(B192,6,0,0.2,G192)</f>
        <v>0.3831570758670626</v>
      </c>
      <c r="J192" cm="1">
        <f t="array" ref="J192">DeltaC(B192,6,G192,0,0,0.2)</f>
        <v>0.56430992382376832</v>
      </c>
      <c r="K192" cm="1">
        <f t="array" ref="K192">GammaCP(B192,6,G192,0,0,0.2)</f>
        <v>0.45497524368559472</v>
      </c>
      <c r="M192">
        <f t="shared" si="13"/>
        <v>0.31987968153586011</v>
      </c>
      <c r="V192" cm="1">
        <f t="array" ref="V192">BSCall(B192,6.5,0,0.2,G192)</f>
        <v>0.18480221125023122</v>
      </c>
      <c r="W192" cm="1">
        <f t="array" ref="W192">DeltaC(B192,6.5,G192,0,0,0.2)</f>
        <v>0.34448821509647715</v>
      </c>
      <c r="X192" cm="1">
        <f t="array" ref="X192">GammaCP(B192,6.5,G192,0,0,0.2)</f>
        <v>0.42549444467713438</v>
      </c>
      <c r="Z192">
        <f t="shared" si="11"/>
        <v>1.0692859786473368</v>
      </c>
      <c r="AA192">
        <f t="shared" si="12"/>
        <v>0.19595350561185748</v>
      </c>
      <c r="AC192">
        <f t="shared" si="14"/>
        <v>0.38145687347395474</v>
      </c>
    </row>
    <row r="193" spans="1:29" x14ac:dyDescent="0.3">
      <c r="A193" s="2">
        <v>43283</v>
      </c>
      <c r="B193">
        <v>5.984</v>
      </c>
      <c r="C193" s="5">
        <v>0.49175999999999997</v>
      </c>
      <c r="D193" s="5">
        <v>0.40599000000000002</v>
      </c>
      <c r="E193" s="7"/>
      <c r="G193">
        <f t="shared" si="10"/>
        <v>0.49863013698630138</v>
      </c>
      <c r="I193" s="8" cm="1">
        <f t="array" ref="I193">BSCall(B193,6,0,0.2,G193)</f>
        <v>0.3293788209334565</v>
      </c>
      <c r="J193" cm="1">
        <f t="array" ref="J193">DeltaC(B193,6,G193,0,0,0.2)</f>
        <v>0.52061870605741123</v>
      </c>
      <c r="K193" cm="1">
        <f t="array" ref="K193">GammaCP(B193,6,G193,0,0,0.2)</f>
        <v>0.4714315759780151</v>
      </c>
      <c r="M193">
        <f t="shared" si="13"/>
        <v>0.2668345486964257</v>
      </c>
      <c r="V193" cm="1">
        <f t="array" ref="V193">BSCall(B193,6.5,0,0.2,G193)</f>
        <v>0.15185391550020344</v>
      </c>
      <c r="W193" cm="1">
        <f t="array" ref="W193">DeltaC(B193,6.5,G193,0,0,0.2)</f>
        <v>0.30325628959768558</v>
      </c>
      <c r="X193" cm="1">
        <f t="array" ref="X193">GammaCP(B193,6.5,G193,0,0,0.2)</f>
        <v>0.41342182688095352</v>
      </c>
      <c r="Z193">
        <f t="shared" si="11"/>
        <v>1.1403161258676497</v>
      </c>
      <c r="AA193">
        <f t="shared" si="12"/>
        <v>0.17481066875838036</v>
      </c>
      <c r="AC193">
        <f t="shared" si="14"/>
        <v>0.32780609328060978</v>
      </c>
    </row>
    <row r="194" spans="1:29" x14ac:dyDescent="0.3">
      <c r="A194" s="2">
        <v>43284</v>
      </c>
      <c r="B194">
        <v>5.98</v>
      </c>
      <c r="C194" s="5">
        <v>0.49593999999999999</v>
      </c>
      <c r="D194" s="5">
        <v>0.41053000000000001</v>
      </c>
      <c r="E194" s="7"/>
      <c r="G194">
        <f t="shared" si="10"/>
        <v>0.49589041095890413</v>
      </c>
      <c r="I194" s="8" cm="1">
        <f t="array" ref="I194">BSCall(B194,6,0,0.2,G194)</f>
        <v>0.32637424776077761</v>
      </c>
      <c r="J194" cm="1">
        <f t="array" ref="J194">DeltaC(B194,6,G194,0,0,0.2)</f>
        <v>0.51862872111648217</v>
      </c>
      <c r="K194" cm="1">
        <f t="array" ref="K194">GammaCP(B194,6,G194,0,0,0.2)</f>
        <v>0.47316455941232999</v>
      </c>
      <c r="M194">
        <f t="shared" si="13"/>
        <v>0.26475207387219629</v>
      </c>
      <c r="V194" cm="1">
        <f t="array" ref="V194">BSCall(B194,6.5,0,0.2,G194)</f>
        <v>0.14983481791184716</v>
      </c>
      <c r="W194" cm="1">
        <f t="array" ref="W194">DeltaC(B194,6.5,G194,0,0,0.2)</f>
        <v>0.3009690118679138</v>
      </c>
      <c r="X194" cm="1">
        <f t="array" ref="X194">GammaCP(B194,6.5,G194,0,0,0.2)</f>
        <v>0.41343191789089789</v>
      </c>
      <c r="Z194">
        <f t="shared" si="11"/>
        <v>1.1444799952218376</v>
      </c>
      <c r="AA194">
        <f t="shared" si="12"/>
        <v>0.17417570785197101</v>
      </c>
      <c r="AC194">
        <f t="shared" si="14"/>
        <v>0.3248044410658732</v>
      </c>
    </row>
    <row r="195" spans="1:29" x14ac:dyDescent="0.3">
      <c r="A195" s="2">
        <v>43285</v>
      </c>
      <c r="B195">
        <v>6.0039999999999996</v>
      </c>
      <c r="C195" s="5">
        <v>0.51219999999999999</v>
      </c>
      <c r="D195" s="5">
        <v>0.42431000000000002</v>
      </c>
      <c r="E195" s="7"/>
      <c r="G195">
        <f t="shared" si="10"/>
        <v>0.49315068493150682</v>
      </c>
      <c r="I195" s="8" cm="1">
        <f t="array" ref="I195">BSCall(B195,6,0,0.2,G195)</f>
        <v>0.33802680068713276</v>
      </c>
      <c r="J195" cm="1">
        <f t="array" ref="J195">DeltaC(B195,6,G195,0,0,0.2)</f>
        <v>0.52988062009122872</v>
      </c>
      <c r="K195" cm="1">
        <f t="array" ref="K195">GammaCP(B195,6,G195,0,0,0.2)</f>
        <v>0.47176867125097532</v>
      </c>
      <c r="M195">
        <f t="shared" si="13"/>
        <v>0.2771991631789914</v>
      </c>
      <c r="V195" cm="1">
        <f t="array" ref="V195">BSCall(B195,6.5,0,0.2,G195)</f>
        <v>0.15635159907948437</v>
      </c>
      <c r="W195" cm="1">
        <f t="array" ref="W195">DeltaC(B195,6.5,G195,0,0,0.2)</f>
        <v>0.31032315966662039</v>
      </c>
      <c r="X195" cm="1">
        <f t="array" ref="X195">GammaCP(B195,6.5,G195,0,0,0.2)</f>
        <v>0.41855943122956735</v>
      </c>
      <c r="Z195">
        <f t="shared" si="11"/>
        <v>1.1271246949688831</v>
      </c>
      <c r="AA195">
        <f t="shared" si="12"/>
        <v>0.1801077234102092</v>
      </c>
      <c r="AC195">
        <f t="shared" si="14"/>
        <v>0.33644298373391957</v>
      </c>
    </row>
    <row r="196" spans="1:29" x14ac:dyDescent="0.3">
      <c r="A196" s="2">
        <v>43286</v>
      </c>
      <c r="B196">
        <v>6.06</v>
      </c>
      <c r="C196" s="5">
        <v>0.54261999999999999</v>
      </c>
      <c r="D196" s="5">
        <v>0.44813999999999998</v>
      </c>
      <c r="E196" s="7"/>
      <c r="G196">
        <f t="shared" si="10"/>
        <v>0.49041095890410957</v>
      </c>
      <c r="I196" s="8" cm="1">
        <f t="array" ref="I196">BSCall(B196,6,0,0.2,G196)</f>
        <v>0.36750092041442217</v>
      </c>
      <c r="J196" cm="1">
        <f t="array" ref="J196">DeltaC(B196,6,G196,0,0,0.2)</f>
        <v>0.55609400327260261</v>
      </c>
      <c r="K196" cm="1">
        <f t="array" ref="K196">GammaCP(B196,6,G196,0,0,0.2)</f>
        <v>0.46537791055265298</v>
      </c>
      <c r="M196">
        <f t="shared" si="13"/>
        <v>0.30687247790410022</v>
      </c>
      <c r="V196" cm="1">
        <f t="array" ref="V196">BSCall(B196,6.5,0,0.2,G196)</f>
        <v>0.17352968346425701</v>
      </c>
      <c r="W196" cm="1">
        <f t="array" ref="W196">DeltaC(B196,6.5,G196,0,0,0.2)</f>
        <v>0.33344483149643594</v>
      </c>
      <c r="X196" cm="1">
        <f t="array" ref="X196">GammaCP(B196,6.5,G196,0,0,0.2)</f>
        <v>0.4284481194720044</v>
      </c>
      <c r="Z196">
        <f t="shared" si="11"/>
        <v>1.0861943124552835</v>
      </c>
      <c r="AA196">
        <f t="shared" si="12"/>
        <v>0.19390812378356348</v>
      </c>
      <c r="AC196">
        <f t="shared" si="14"/>
        <v>0.36589085936722787</v>
      </c>
    </row>
    <row r="197" spans="1:29" x14ac:dyDescent="0.3">
      <c r="A197" s="2">
        <v>43287</v>
      </c>
      <c r="B197">
        <v>6.0380000000000003</v>
      </c>
      <c r="C197" s="5">
        <v>0.52375000000000005</v>
      </c>
      <c r="D197" s="5">
        <v>0.43123</v>
      </c>
      <c r="E197" s="7"/>
      <c r="G197">
        <f t="shared" ref="G197:G260" si="15">(E$4-A197)/365</f>
        <v>0.48767123287671232</v>
      </c>
      <c r="I197" s="8" cm="1">
        <f t="array" ref="I197">BSCall(B197,6,0,0.2,G197)</f>
        <v>0.35444226019977743</v>
      </c>
      <c r="J197" cm="1">
        <f t="array" ref="J197">DeltaC(B197,6,G197,0,0,0.2)</f>
        <v>0.54579188380826216</v>
      </c>
      <c r="K197" cm="1">
        <f t="array" ref="K197">GammaCP(B197,6,G197,0,0,0.2)</f>
        <v>0.46994799346272742</v>
      </c>
      <c r="M197">
        <f t="shared" si="13"/>
        <v>0.29463840983210332</v>
      </c>
      <c r="V197" cm="1">
        <f t="array" ref="V197">BSCall(B197,6.5,0,0.2,G197)</f>
        <v>0.16544726957427014</v>
      </c>
      <c r="W197" cm="1">
        <f t="array" ref="W197">DeltaC(B197,6.5,G197,0,0,0.2)</f>
        <v>0.32345443544920727</v>
      </c>
      <c r="X197" cm="1">
        <f t="array" ref="X197">GammaCP(B197,6.5,G197,0,0,0.2)</f>
        <v>0.425952974024842</v>
      </c>
      <c r="Z197">
        <f t="shared" ref="Z197:Z260" si="16">K197/X197</f>
        <v>1.1032860952282484</v>
      </c>
      <c r="AA197">
        <f t="shared" ref="AA197:AA260" si="17">J197-W197*Z197</f>
        <v>0.18892910273724872</v>
      </c>
      <c r="AC197">
        <f t="shared" si="14"/>
        <v>0.3528458086457763</v>
      </c>
    </row>
    <row r="198" spans="1:29" x14ac:dyDescent="0.3">
      <c r="A198" s="2">
        <v>43290</v>
      </c>
      <c r="B198">
        <v>6.1059999999999999</v>
      </c>
      <c r="C198" s="5">
        <v>0.55627000000000004</v>
      </c>
      <c r="D198" s="5">
        <v>0.45467999999999997</v>
      </c>
      <c r="E198" s="7"/>
      <c r="G198">
        <f t="shared" si="15"/>
        <v>0.47945205479452052</v>
      </c>
      <c r="I198" s="8" cm="1">
        <f t="array" ref="I198">BSCall(B198,6,0,0.2,G198)</f>
        <v>0.3898099385283702</v>
      </c>
      <c r="J198" cm="1">
        <f t="array" ref="J198">DeltaC(B198,6,G198,0,0,0.2)</f>
        <v>0.5775773972636693</v>
      </c>
      <c r="K198" cm="1">
        <f t="array" ref="K198">GammaCP(B198,6,G198,0,0,0.2)</f>
        <v>0.46284362960053066</v>
      </c>
      <c r="M198">
        <f t="shared" ref="M198:M260" si="18">M197+J197*(B198-B197)</f>
        <v>0.33175225793106494</v>
      </c>
      <c r="V198" cm="1">
        <f t="array" ref="V198">BSCall(B198,6.5,0,0.2,G198)</f>
        <v>0.18575631776153023</v>
      </c>
      <c r="W198" cm="1">
        <f t="array" ref="W198">DeltaC(B198,6.5,G198,0,0,0.2)</f>
        <v>0.35112359398425347</v>
      </c>
      <c r="X198" cm="1">
        <f t="array" ref="X198">GammaCP(B198,6.5,G198,0,0,0.2)</f>
        <v>0.43854661168443776</v>
      </c>
      <c r="Z198">
        <f t="shared" si="16"/>
        <v>1.0554035016318315</v>
      </c>
      <c r="AA198">
        <f t="shared" si="17"/>
        <v>0.20700032666713469</v>
      </c>
      <c r="AC198">
        <f t="shared" ref="AC198:AC260" si="19">AC197+AA197*(B198-B197)+Z197*(V198-V197)</f>
        <v>0.38809967810423368</v>
      </c>
    </row>
    <row r="199" spans="1:29" x14ac:dyDescent="0.3">
      <c r="A199" s="2">
        <v>43291</v>
      </c>
      <c r="B199">
        <v>6.0919999999999996</v>
      </c>
      <c r="C199" s="5">
        <v>0.53869999999999996</v>
      </c>
      <c r="D199" s="5">
        <v>0.43785000000000002</v>
      </c>
      <c r="E199" s="7"/>
      <c r="G199">
        <f t="shared" si="15"/>
        <v>0.47671232876712327</v>
      </c>
      <c r="I199" s="8" cm="1">
        <f t="array" ref="I199">BSCall(B199,6,0,0.2,G199)</f>
        <v>0.38082163230142507</v>
      </c>
      <c r="J199" cm="1">
        <f t="array" ref="J199">DeltaC(B199,6,G199,0,0,0.2)</f>
        <v>0.57112591501214593</v>
      </c>
      <c r="K199" cm="1">
        <f t="array" ref="K199">GammaCP(B199,6,G199,0,0,0.2)</f>
        <v>0.46667613380653616</v>
      </c>
      <c r="M199">
        <f t="shared" si="18"/>
        <v>0.32366617436937345</v>
      </c>
      <c r="V199" cm="1">
        <f t="array" ref="V199">BSCall(B199,6.5,0,0.2,G199)</f>
        <v>0.17999441533533189</v>
      </c>
      <c r="W199" cm="1">
        <f t="array" ref="W199">DeltaC(B199,6.5,G199,0,0,0.2)</f>
        <v>0.34442889854915398</v>
      </c>
      <c r="X199" cm="1">
        <f t="array" ref="X199">GammaCP(B199,6.5,G199,0,0,0.2)</f>
        <v>0.43770139284193132</v>
      </c>
      <c r="Z199">
        <f t="shared" si="16"/>
        <v>1.0661975068812919</v>
      </c>
      <c r="AA199">
        <f t="shared" si="17"/>
        <v>0.20389668208116857</v>
      </c>
      <c r="AC199">
        <f t="shared" si="19"/>
        <v>0.37912054153422309</v>
      </c>
    </row>
    <row r="200" spans="1:29" x14ac:dyDescent="0.3">
      <c r="A200" s="2">
        <v>43292</v>
      </c>
      <c r="B200">
        <v>6.0380000000000003</v>
      </c>
      <c r="C200" s="5">
        <v>0.50222</v>
      </c>
      <c r="D200" s="5">
        <v>0.40766999999999998</v>
      </c>
      <c r="E200" s="7"/>
      <c r="G200">
        <f t="shared" si="15"/>
        <v>0.47397260273972602</v>
      </c>
      <c r="I200" s="8" cm="1">
        <f t="array" ref="I200">BSCall(B200,6,0,0.2,G200)</f>
        <v>0.3497147317363396</v>
      </c>
      <c r="J200" cm="1">
        <f t="array" ref="J200">DeltaC(B200,6,G200,0,0,0.2)</f>
        <v>0.54565744300996166</v>
      </c>
      <c r="K200" cm="1">
        <f t="array" ref="K200">GammaCP(B200,6,G200,0,0,0.2)</f>
        <v>0.47670935180665508</v>
      </c>
      <c r="M200">
        <f t="shared" si="18"/>
        <v>0.29282537495871791</v>
      </c>
      <c r="V200" cm="1">
        <f t="array" ref="V200">BSCall(B200,6.5,0,0.2,G200)</f>
        <v>0.16117080949657758</v>
      </c>
      <c r="W200" cm="1">
        <f t="array" ref="W200">DeltaC(B200,6.5,G200,0,0,0.2)</f>
        <v>0.32038494649696014</v>
      </c>
      <c r="X200" cm="1">
        <f t="array" ref="X200">GammaCP(B200,6.5,G200,0,0,0.2)</f>
        <v>0.4303575465789905</v>
      </c>
      <c r="Z200">
        <f t="shared" si="16"/>
        <v>1.1077053384938305</v>
      </c>
      <c r="AA200">
        <f t="shared" si="17"/>
        <v>0.19076532740221869</v>
      </c>
      <c r="AC200">
        <f t="shared" si="19"/>
        <v>0.34804043908604415</v>
      </c>
    </row>
    <row r="201" spans="1:29" x14ac:dyDescent="0.3">
      <c r="A201" s="2">
        <v>43293</v>
      </c>
      <c r="B201">
        <v>6.05</v>
      </c>
      <c r="C201" s="5">
        <v>0.51061999999999996</v>
      </c>
      <c r="D201" s="5">
        <v>0.41438000000000003</v>
      </c>
      <c r="E201" s="7"/>
      <c r="G201">
        <f t="shared" si="15"/>
        <v>0.47123287671232877</v>
      </c>
      <c r="I201" s="8" cm="1">
        <f t="array" ref="I201">BSCall(B201,6,0,0.2,G201)</f>
        <v>0.35534299606380149</v>
      </c>
      <c r="J201" cm="1">
        <f t="array" ref="J201">DeltaC(B201,6,G201,0,0,0.2)</f>
        <v>0.55135773879242467</v>
      </c>
      <c r="K201" cm="1">
        <f t="array" ref="K201">GammaCP(B201,6,G201,0,0,0.2)</f>
        <v>0.47630833090502933</v>
      </c>
      <c r="M201">
        <f t="shared" si="18"/>
        <v>0.29937326427483724</v>
      </c>
      <c r="V201" cm="1">
        <f t="array" ref="V201">BSCall(B201,6.5,0,0.2,G201)</f>
        <v>0.16417839694292558</v>
      </c>
      <c r="W201" cm="1">
        <f t="array" ref="W201">DeltaC(B201,6.5,G201,0,0,0.2)</f>
        <v>0.32494504934779045</v>
      </c>
      <c r="X201" cm="1">
        <f t="array" ref="X201">GammaCP(B201,6.5,G201,0,0,0.2)</f>
        <v>0.43327752969560379</v>
      </c>
      <c r="Z201">
        <f t="shared" si="16"/>
        <v>1.0993146384481478</v>
      </c>
      <c r="AA201">
        <f t="shared" si="17"/>
        <v>0.19414088935314289</v>
      </c>
      <c r="AC201">
        <f t="shared" si="19"/>
        <v>0.35366114368517737</v>
      </c>
    </row>
    <row r="202" spans="1:29" x14ac:dyDescent="0.3">
      <c r="A202" s="2">
        <v>43294</v>
      </c>
      <c r="B202">
        <v>6.03</v>
      </c>
      <c r="C202" s="5">
        <v>0.49851000000000001</v>
      </c>
      <c r="D202" s="5">
        <v>0.40461999999999998</v>
      </c>
      <c r="E202" s="7"/>
      <c r="G202">
        <f t="shared" si="15"/>
        <v>0.46849315068493153</v>
      </c>
      <c r="I202" s="8" cm="1">
        <f t="array" ref="I202">BSCall(B202,6,0,0.2,G202)</f>
        <v>0.34345508075379039</v>
      </c>
      <c r="J202" cm="1">
        <f t="array" ref="J202">DeltaC(B202,6,G202,0,0,0.2)</f>
        <v>0.54176464254113976</v>
      </c>
      <c r="K202" cm="1">
        <f t="array" ref="K202">GammaCP(B202,6,G202,0,0,0.2)</f>
        <v>0.48064290699055717</v>
      </c>
      <c r="M202">
        <f t="shared" si="18"/>
        <v>0.28834610949898898</v>
      </c>
      <c r="V202" cm="1">
        <f t="array" ref="V202">BSCall(B202,6.5,0,0.2,G202)</f>
        <v>0.15690861055727146</v>
      </c>
      <c r="W202" cm="1">
        <f t="array" ref="W202">DeltaC(B202,6.5,G202,0,0,0.2)</f>
        <v>0.31567445674690381</v>
      </c>
      <c r="X202" cm="1">
        <f t="array" ref="X202">GammaCP(B202,6.5,G202,0,0,0.2)</f>
        <v>0.43074081834386213</v>
      </c>
      <c r="Z202">
        <f t="shared" si="16"/>
        <v>1.1158517756421635</v>
      </c>
      <c r="AA202">
        <f t="shared" si="17"/>
        <v>0.18951873945523179</v>
      </c>
      <c r="AC202">
        <f t="shared" si="19"/>
        <v>0.34178654330597397</v>
      </c>
    </row>
    <row r="203" spans="1:29" x14ac:dyDescent="0.3">
      <c r="A203" s="2">
        <v>43297</v>
      </c>
      <c r="B203">
        <v>6</v>
      </c>
      <c r="C203" s="5">
        <v>0.48043000000000002</v>
      </c>
      <c r="D203" s="5">
        <v>0.38954</v>
      </c>
      <c r="E203" s="7"/>
      <c r="G203">
        <f t="shared" si="15"/>
        <v>0.46027397260273972</v>
      </c>
      <c r="I203" s="8" cm="1">
        <f t="array" ref="I203">BSCall(B203,6,0,0.2,G203)</f>
        <v>0.3245386799166301</v>
      </c>
      <c r="J203" cm="1">
        <f t="array" ref="J203">DeltaC(B203,6,G203,0,0,0.2)</f>
        <v>0.52704488999305255</v>
      </c>
      <c r="K203" cm="1">
        <f t="array" ref="K203">GammaCP(B203,6,G203,0,0,0.2)</f>
        <v>0.48890124015778585</v>
      </c>
      <c r="M203">
        <f t="shared" si="18"/>
        <v>0.27209317022275464</v>
      </c>
      <c r="V203" cm="1">
        <f t="array" ref="V203">BSCall(B203,6.5,0,0.2,G203)</f>
        <v>0.14510831681418312</v>
      </c>
      <c r="W203" cm="1">
        <f t="array" ref="W203">DeltaC(B203,6.5,G203,0,0,0.2)</f>
        <v>0.3008130491860509</v>
      </c>
      <c r="X203" cm="1">
        <f t="array" ref="X203">GammaCP(B203,6.5,G203,0,0,0.2)</f>
        <v>0.42759937251551633</v>
      </c>
      <c r="Z203">
        <f t="shared" si="16"/>
        <v>1.1433628568761407</v>
      </c>
      <c r="AA203">
        <f t="shared" si="17"/>
        <v>0.18310642269006638</v>
      </c>
      <c r="AC203">
        <f t="shared" si="19"/>
        <v>0.32293360239599272</v>
      </c>
    </row>
    <row r="204" spans="1:29" x14ac:dyDescent="0.3">
      <c r="A204" s="2">
        <v>43298</v>
      </c>
      <c r="B204">
        <v>5.9560000000000004</v>
      </c>
      <c r="C204" s="5">
        <v>0.46061999999999997</v>
      </c>
      <c r="D204" s="5">
        <v>0.37489</v>
      </c>
      <c r="E204" s="7"/>
      <c r="G204">
        <f t="shared" si="15"/>
        <v>0.45753424657534247</v>
      </c>
      <c r="I204" s="8" cm="1">
        <f t="array" ref="I204">BSCall(B204,6,0,0.2,G204)</f>
        <v>0.30086270099608203</v>
      </c>
      <c r="J204" cm="1">
        <f t="array" ref="J204">DeltaC(B204,6,G204,0,0,0.2)</f>
        <v>0.50527945152291365</v>
      </c>
      <c r="K204" cm="1">
        <f t="array" ref="K204">GammaCP(B204,6,G204,0,0,0.2)</f>
        <v>0.49508018753982908</v>
      </c>
      <c r="M204">
        <f t="shared" si="18"/>
        <v>0.24890319506306055</v>
      </c>
      <c r="V204" cm="1">
        <f t="array" ref="V204">BSCall(B204,6.5,0,0.2,G204)</f>
        <v>0.13147005119237498</v>
      </c>
      <c r="W204" cm="1">
        <f t="array" ref="W204">DeltaC(B204,6.5,G204,0,0,0.2)</f>
        <v>0.28148470580984802</v>
      </c>
      <c r="X204" cm="1">
        <f t="array" ref="X204">GammaCP(B204,6.5,G204,0,0,0.2)</f>
        <v>0.41885000921230886</v>
      </c>
      <c r="Z204">
        <f t="shared" si="16"/>
        <v>1.18199875050947</v>
      </c>
      <c r="AA204">
        <f t="shared" si="17"/>
        <v>0.17256488096814754</v>
      </c>
      <c r="AC204">
        <f t="shared" si="19"/>
        <v>0.29928343345344366</v>
      </c>
    </row>
    <row r="205" spans="1:29" x14ac:dyDescent="0.3">
      <c r="A205" s="2">
        <v>43299</v>
      </c>
      <c r="B205">
        <v>5.97</v>
      </c>
      <c r="C205" s="5">
        <v>0.47487000000000001</v>
      </c>
      <c r="D205" s="5">
        <v>0.38740000000000002</v>
      </c>
      <c r="E205" s="7"/>
      <c r="G205">
        <f t="shared" si="15"/>
        <v>0.45479452054794522</v>
      </c>
      <c r="I205" s="8" cm="1">
        <f t="array" ref="I205">BSCall(B205,6,0,0.2,G205)</f>
        <v>0.30701941495246388</v>
      </c>
      <c r="J205" cm="1">
        <f t="array" ref="J205">DeltaC(B205,6,G205,0,0,0.2)</f>
        <v>0.51207598532123288</v>
      </c>
      <c r="K205" cm="1">
        <f t="array" ref="K205">GammaCP(B205,6,G205,0,0,0.2)</f>
        <v>0.49522105408787293</v>
      </c>
      <c r="M205">
        <f t="shared" si="18"/>
        <v>0.25597710738438101</v>
      </c>
      <c r="V205" cm="1">
        <f t="array" ref="V205">BSCall(B205,6.5,0,0.2,G205)</f>
        <v>0.13462706190608897</v>
      </c>
      <c r="W205" cm="1">
        <f t="array" ref="W205">DeltaC(B205,6.5,G205,0,0,0.2)</f>
        <v>0.28665772261702954</v>
      </c>
      <c r="X205" cm="1">
        <f t="array" ref="X205">GammaCP(B205,6.5,G205,0,0,0.2)</f>
        <v>0.42279153899664984</v>
      </c>
      <c r="Z205">
        <f t="shared" si="16"/>
        <v>1.171312593584795</v>
      </c>
      <c r="AA205">
        <f t="shared" si="17"/>
        <v>0.17631018477156929</v>
      </c>
      <c r="AC205">
        <f t="shared" si="19"/>
        <v>0.30543092450595255</v>
      </c>
    </row>
    <row r="206" spans="1:29" x14ac:dyDescent="0.3">
      <c r="A206" s="2">
        <v>43300</v>
      </c>
      <c r="B206">
        <v>5.9619999999999997</v>
      </c>
      <c r="C206" s="5">
        <v>0.47314000000000001</v>
      </c>
      <c r="D206" s="5">
        <v>0.38655</v>
      </c>
      <c r="E206" s="7"/>
      <c r="G206">
        <f t="shared" si="15"/>
        <v>0.45205479452054792</v>
      </c>
      <c r="I206" s="8" cm="1">
        <f t="array" ref="I206">BSCall(B206,6,0,0.2,G206)</f>
        <v>0.30197112286901451</v>
      </c>
      <c r="J206" cm="1">
        <f t="array" ref="J206">DeltaC(B206,6,G206,0,0,0.2)</f>
        <v>0.50797303720345721</v>
      </c>
      <c r="K206" cm="1">
        <f t="array" ref="K206">GammaCP(B206,6,G206,0,0,0.2)</f>
        <v>0.49751458228124723</v>
      </c>
      <c r="M206">
        <f t="shared" si="18"/>
        <v>0.25188049950181113</v>
      </c>
      <c r="V206" cm="1">
        <f t="array" ref="V206">BSCall(B206,6.5,0,0.2,G206)</f>
        <v>0.13152664577943307</v>
      </c>
      <c r="W206" cm="1">
        <f t="array" ref="W206">DeltaC(B206,6.5,G206,0,0,0.2)</f>
        <v>0.28255811122570773</v>
      </c>
      <c r="X206" cm="1">
        <f t="array" ref="X206">GammaCP(B206,6.5,G206,0,0,0.2)</f>
        <v>0.42172911885760972</v>
      </c>
      <c r="Z206">
        <f t="shared" si="16"/>
        <v>1.1797017564946122</v>
      </c>
      <c r="AA206">
        <f t="shared" si="17"/>
        <v>0.17463873707868982</v>
      </c>
      <c r="AC206">
        <f t="shared" si="19"/>
        <v>0.30038888657327451</v>
      </c>
    </row>
    <row r="207" spans="1:29" x14ac:dyDescent="0.3">
      <c r="A207" s="2">
        <v>43301</v>
      </c>
      <c r="B207">
        <v>5.8920000000000003</v>
      </c>
      <c r="C207" s="5">
        <v>0.43892999999999999</v>
      </c>
      <c r="D207" s="5">
        <v>0.36024</v>
      </c>
      <c r="E207" s="7"/>
      <c r="G207">
        <f t="shared" si="15"/>
        <v>0.44931506849315067</v>
      </c>
      <c r="I207" s="8" cm="1">
        <f t="array" ref="I207">BSCall(B207,6,0,0.2,G207)</f>
        <v>0.26667959799395513</v>
      </c>
      <c r="J207" cm="1">
        <f t="array" ref="J207">DeltaC(B207,6,G207,0,0,0.2)</f>
        <v>0.47271035647047349</v>
      </c>
      <c r="K207" cm="1">
        <f t="array" ref="K207">GammaCP(B207,6,G207,0,0,0.2)</f>
        <v>0.50387657357751503</v>
      </c>
      <c r="M207">
        <f t="shared" si="18"/>
        <v>0.21632238689756944</v>
      </c>
      <c r="V207" cm="1">
        <f t="array" ref="V207">BSCall(B207,6.5,0,0.2,G207)</f>
        <v>0.11199766323496041</v>
      </c>
      <c r="W207" cm="1">
        <f t="array" ref="W207">DeltaC(B207,6.5,G207,0,0,0.2)</f>
        <v>0.25286022471942038</v>
      </c>
      <c r="X207" cm="1">
        <f t="array" ref="X207">GammaCP(B207,6.5,G207,0,0,0.2)</f>
        <v>0.40472943530140104</v>
      </c>
      <c r="Z207">
        <f t="shared" si="16"/>
        <v>1.244971404667613</v>
      </c>
      <c r="AA207">
        <f t="shared" si="17"/>
        <v>0.15790660731696843</v>
      </c>
      <c r="AC207">
        <f t="shared" si="19"/>
        <v>0.2651257999674993</v>
      </c>
    </row>
    <row r="208" spans="1:29" x14ac:dyDescent="0.3">
      <c r="A208" s="2">
        <v>43304</v>
      </c>
      <c r="B208">
        <v>5.8659999999999997</v>
      </c>
      <c r="C208" s="5">
        <v>0.43153999999999998</v>
      </c>
      <c r="D208" s="5">
        <v>0.35487999999999997</v>
      </c>
      <c r="E208" s="7"/>
      <c r="G208">
        <f t="shared" si="15"/>
        <v>0.44109589041095892</v>
      </c>
      <c r="I208" s="8" cm="1">
        <f t="array" ref="I208">BSCall(B208,6,0,0.2,G208)</f>
        <v>0.25169192443152166</v>
      </c>
      <c r="J208" cm="1">
        <f t="array" ref="J208">DeltaC(B208,6,G208,0,0,0.2)</f>
        <v>0.4587332893697299</v>
      </c>
      <c r="K208" cm="1">
        <f t="array" ref="K208">GammaCP(B208,6,G208,0,0,0.2)</f>
        <v>0.50926018938310269</v>
      </c>
      <c r="M208">
        <f t="shared" si="18"/>
        <v>0.20403191762933681</v>
      </c>
      <c r="V208" cm="1">
        <f t="array" ref="V208">BSCall(B208,6.5,0,0.2,G208)</f>
        <v>0.10330667804678817</v>
      </c>
      <c r="W208" cm="1">
        <f t="array" ref="W208">DeltaC(B208,6.5,G208,0,0,0.2)</f>
        <v>0.24002563241041086</v>
      </c>
      <c r="X208" cm="1">
        <f t="array" ref="X208">GammaCP(B208,6.5,G208,0,0,0.2)</f>
        <v>0.39899734329133774</v>
      </c>
      <c r="Z208">
        <f t="shared" si="16"/>
        <v>1.2763498252449612</v>
      </c>
      <c r="AA208">
        <f t="shared" si="17"/>
        <v>0.1523766153883907</v>
      </c>
      <c r="AC208">
        <f t="shared" si="19"/>
        <v>0.25020020013959382</v>
      </c>
    </row>
    <row r="209" spans="1:29" x14ac:dyDescent="0.3">
      <c r="A209" s="2">
        <v>43305</v>
      </c>
      <c r="B209">
        <v>6.0359999999999996</v>
      </c>
      <c r="C209" s="5">
        <v>0.52869999999999995</v>
      </c>
      <c r="D209" s="5">
        <v>0.43275000000000002</v>
      </c>
      <c r="E209" s="7"/>
      <c r="G209">
        <f t="shared" si="15"/>
        <v>0.43835616438356162</v>
      </c>
      <c r="I209" s="8" cm="1">
        <f t="array" ref="I209">BSCall(B209,6,0,0.2,G209)</f>
        <v>0.33600271269643267</v>
      </c>
      <c r="J209" cm="1">
        <f t="array" ref="J209">DeltaC(B209,6,G209,0,0,0.2)</f>
        <v>0.54434427481648673</v>
      </c>
      <c r="K209" cm="1">
        <f t="array" ref="K209">GammaCP(B209,6,G209,0,0,0.2)</f>
        <v>0.49604747258501203</v>
      </c>
      <c r="M209">
        <f t="shared" si="18"/>
        <v>0.28201657682219083</v>
      </c>
      <c r="V209" cm="1">
        <f t="array" ref="V209">BSCall(B209,6.5,0,0.2,G209)</f>
        <v>0.14921729200085587</v>
      </c>
      <c r="W209" cm="1">
        <f t="array" ref="W209">DeltaC(B209,6.5,G209,0,0,0.2)</f>
        <v>0.31097438428636859</v>
      </c>
      <c r="X209" cm="1">
        <f t="array" ref="X209">GammaCP(B209,6.5,G209,0,0,0.2)</f>
        <v>0.44199821935476996</v>
      </c>
      <c r="Z209">
        <f t="shared" si="16"/>
        <v>1.1222838709828815</v>
      </c>
      <c r="AA209">
        <f t="shared" si="17"/>
        <v>0.19534273904306282</v>
      </c>
      <c r="AC209">
        <f t="shared" si="19"/>
        <v>0.33470222885278345</v>
      </c>
    </row>
    <row r="210" spans="1:29" x14ac:dyDescent="0.3">
      <c r="A210" s="2">
        <v>43306</v>
      </c>
      <c r="B210">
        <v>6</v>
      </c>
      <c r="C210" s="5">
        <v>0.49829000000000001</v>
      </c>
      <c r="D210" s="5">
        <v>0.40527999999999997</v>
      </c>
      <c r="E210" s="7"/>
      <c r="G210">
        <f t="shared" si="15"/>
        <v>0.43561643835616437</v>
      </c>
      <c r="I210" s="8" cm="1">
        <f t="array" ref="I210">BSCall(B210,6,0,0.2,G210)</f>
        <v>0.31573899601362676</v>
      </c>
      <c r="J210" cm="1">
        <f t="array" ref="J210">DeltaC(B210,6,G210,0,0,0.2)</f>
        <v>0.52631158300113556</v>
      </c>
      <c r="K210" cm="1">
        <f t="array" ref="K210">GammaCP(B210,6,G210,0,0,0.2)</f>
        <v>0.50260957832209674</v>
      </c>
      <c r="M210">
        <f t="shared" si="18"/>
        <v>0.26242018292879754</v>
      </c>
      <c r="V210" cm="1">
        <f t="array" ref="V210">BSCall(B210,6.5,0,0.2,G210)</f>
        <v>0.13744925625010596</v>
      </c>
      <c r="W210" cm="1">
        <f t="array" ref="W210">DeltaC(B210,6.5,G210,0,0,0.2)</f>
        <v>0.29447044214000972</v>
      </c>
      <c r="X210" cm="1">
        <f t="array" ref="X210">GammaCP(B210,6.5,G210,0,0,0.2)</f>
        <v>0.43528069810084113</v>
      </c>
      <c r="Z210">
        <f t="shared" si="16"/>
        <v>1.1546792231197387</v>
      </c>
      <c r="AA210">
        <f t="shared" si="17"/>
        <v>0.18629268163918317</v>
      </c>
      <c r="AC210">
        <f t="shared" si="19"/>
        <v>0.31446281353101668</v>
      </c>
    </row>
    <row r="211" spans="1:29" x14ac:dyDescent="0.3">
      <c r="A211" s="2">
        <v>43307</v>
      </c>
      <c r="B211">
        <v>5.9779999999999998</v>
      </c>
      <c r="C211" s="5">
        <v>0.48068</v>
      </c>
      <c r="D211" s="5">
        <v>0.39001999999999998</v>
      </c>
      <c r="E211" s="7"/>
      <c r="G211">
        <f t="shared" si="15"/>
        <v>0.43287671232876712</v>
      </c>
      <c r="I211" s="8" cm="1">
        <f t="array" ref="I211">BSCall(B211,6,0,0.2,G211)</f>
        <v>0.30329117585045173</v>
      </c>
      <c r="J211" cm="1">
        <f t="array" ref="J211">DeltaC(B211,6,G211,0,0,0.2)</f>
        <v>0.51510717942442019</v>
      </c>
      <c r="K211" cm="1">
        <f t="array" ref="K211">GammaCP(B211,6,G211,0,0,0.2)</f>
        <v>0.50679288832152336</v>
      </c>
      <c r="M211">
        <f t="shared" si="18"/>
        <v>0.25084132810277243</v>
      </c>
      <c r="V211" cm="1">
        <f t="array" ref="V211">BSCall(B211,6.5,0,0.2,G211)</f>
        <v>0.13023264851422955</v>
      </c>
      <c r="W211" cm="1">
        <f t="array" ref="W211">DeltaC(B211,6.5,G211,0,0,0.2)</f>
        <v>0.28419933475603754</v>
      </c>
      <c r="X211" cm="1">
        <f t="array" ref="X211">GammaCP(B211,6.5,G211,0,0,0.2)</f>
        <v>0.43101166164570087</v>
      </c>
      <c r="Z211">
        <f t="shared" si="16"/>
        <v>1.1758217547675449</v>
      </c>
      <c r="AA211">
        <f t="shared" si="17"/>
        <v>0.18093941892780724</v>
      </c>
      <c r="AC211">
        <f t="shared" si="19"/>
        <v>0.302031507520933</v>
      </c>
    </row>
    <row r="212" spans="1:29" x14ac:dyDescent="0.3">
      <c r="A212" s="2">
        <v>43308</v>
      </c>
      <c r="B212">
        <v>6.0339999999999998</v>
      </c>
      <c r="C212" s="5">
        <v>0.50866</v>
      </c>
      <c r="D212" s="5">
        <v>0.41114000000000001</v>
      </c>
      <c r="E212" s="7"/>
      <c r="G212">
        <f t="shared" si="15"/>
        <v>0.43013698630136987</v>
      </c>
      <c r="I212" s="8" cm="1">
        <f t="array" ref="I212">BSCall(B212,6,0,0.2,G212)</f>
        <v>0.3319302437213536</v>
      </c>
      <c r="J212" cm="1">
        <f t="array" ref="J212">DeltaC(B212,6,G212,0,0,0.2)</f>
        <v>0.54326547573312223</v>
      </c>
      <c r="K212" cm="1">
        <f t="array" ref="K212">GammaCP(B212,6,G212,0,0,0.2)</f>
        <v>0.50108029928913433</v>
      </c>
      <c r="M212">
        <f t="shared" si="18"/>
        <v>0.27968733015053998</v>
      </c>
      <c r="V212" cm="1">
        <f t="array" ref="V212">BSCall(B212,6.5,0,0.2,G212)</f>
        <v>0.14594465297364123</v>
      </c>
      <c r="W212" cm="1">
        <f t="array" ref="W212">DeltaC(B212,6.5,G212,0,0,0.2)</f>
        <v>0.30798895425264411</v>
      </c>
      <c r="X212" cm="1">
        <f t="array" ref="X212">GammaCP(B212,6.5,G212,0,0,0.2)</f>
        <v>0.44447316324563757</v>
      </c>
      <c r="Z212">
        <f t="shared" si="16"/>
        <v>1.1273578265786384</v>
      </c>
      <c r="AA212">
        <f t="shared" si="17"/>
        <v>0.19605171765663371</v>
      </c>
      <c r="AC212">
        <f t="shared" si="19"/>
        <v>0.33063863163527113</v>
      </c>
    </row>
    <row r="213" spans="1:29" x14ac:dyDescent="0.3">
      <c r="A213" s="2">
        <v>43311</v>
      </c>
      <c r="B213">
        <v>6.0759999999999996</v>
      </c>
      <c r="C213" s="5">
        <v>0.52146999999999999</v>
      </c>
      <c r="D213" s="5">
        <v>0.41744999999999999</v>
      </c>
      <c r="E213" s="7"/>
      <c r="G213">
        <f t="shared" si="15"/>
        <v>0.42191780821917807</v>
      </c>
      <c r="I213" s="8" cm="1">
        <f t="array" ref="I213">BSCall(B213,6,0,0.2,G213)</f>
        <v>0.35217461381439552</v>
      </c>
      <c r="J213" cm="1">
        <f t="array" ref="J213">DeltaC(B213,6,G213,0,0,0.2)</f>
        <v>0.56428641454168571</v>
      </c>
      <c r="K213" cm="1">
        <f t="array" ref="K213">GammaCP(B213,6,G213,0,0,0.2)</f>
        <v>0.4988389978399172</v>
      </c>
      <c r="M213">
        <f t="shared" si="18"/>
        <v>0.30250448013133102</v>
      </c>
      <c r="V213" cm="1">
        <f t="array" ref="V213">BSCall(B213,6.5,0,0.2,G213)</f>
        <v>0.15651805420354781</v>
      </c>
      <c r="W213" cm="1">
        <f t="array" ref="W213">DeltaC(B213,6.5,G213,0,0,0.2)</f>
        <v>0.32480939193590319</v>
      </c>
      <c r="X213" cm="1">
        <f t="array" ref="X213">GammaCP(B213,6.5,G213,0,0,0.2)</f>
        <v>0.45586189792892584</v>
      </c>
      <c r="Z213">
        <f t="shared" si="16"/>
        <v>1.094276578293218</v>
      </c>
      <c r="AA213">
        <f t="shared" si="17"/>
        <v>0.20885510453656481</v>
      </c>
      <c r="AC213">
        <f t="shared" si="19"/>
        <v>0.3507928104069411</v>
      </c>
    </row>
    <row r="214" spans="1:29" x14ac:dyDescent="0.3">
      <c r="A214" s="2">
        <v>43312</v>
      </c>
      <c r="B214">
        <v>6.15</v>
      </c>
      <c r="C214" s="5">
        <v>0.55388999999999999</v>
      </c>
      <c r="D214" s="5">
        <v>0.43935999999999997</v>
      </c>
      <c r="E214" s="7"/>
      <c r="G214">
        <f t="shared" si="15"/>
        <v>0.41917808219178082</v>
      </c>
      <c r="I214" s="8" cm="1">
        <f t="array" ref="I214">BSCall(B214,6,0,0.2,G214)</f>
        <v>0.39428100309277081</v>
      </c>
      <c r="J214" cm="1">
        <f t="array" ref="J214">DeltaC(B214,6,G214,0,0,0.2)</f>
        <v>0.60080769848596161</v>
      </c>
      <c r="K214" cm="1">
        <f t="array" ref="K214">GammaCP(B214,6,G214,0,0,0.2)</f>
        <v>0.48488314967364227</v>
      </c>
      <c r="M214">
        <f t="shared" si="18"/>
        <v>0.34426167480741621</v>
      </c>
      <c r="V214" cm="1">
        <f t="array" ref="V214">BSCall(B214,6.5,0,0.2,G214)</f>
        <v>0.18084305474347095</v>
      </c>
      <c r="W214" cm="1">
        <f t="array" ref="W214">DeltaC(B214,6.5,G214,0,0,0.2)</f>
        <v>0.35841085854114141</v>
      </c>
      <c r="X214" cm="1">
        <f t="array" ref="X214">GammaCP(B214,6.5,G214,0,0,0.2)</f>
        <v>0.46907051635336267</v>
      </c>
      <c r="Z214">
        <f t="shared" si="16"/>
        <v>1.0337105675351541</v>
      </c>
      <c r="AA214">
        <f t="shared" si="17"/>
        <v>0.23031460649263646</v>
      </c>
      <c r="AC214">
        <f t="shared" si="19"/>
        <v>0.39286636650045481</v>
      </c>
    </row>
    <row r="215" spans="1:29" x14ac:dyDescent="0.3">
      <c r="A215" s="2">
        <v>43313</v>
      </c>
      <c r="B215">
        <v>6.0780000000000003</v>
      </c>
      <c r="C215" s="5">
        <v>0.49729000000000001</v>
      </c>
      <c r="D215" s="5">
        <v>0.39101999999999998</v>
      </c>
      <c r="E215" s="7"/>
      <c r="G215">
        <f t="shared" si="15"/>
        <v>0.41643835616438357</v>
      </c>
      <c r="I215" s="8" cm="1">
        <f t="array" ref="I215">BSCall(B215,6,0,0.2,G215)</f>
        <v>0.3512796020837361</v>
      </c>
      <c r="J215" cm="1">
        <f t="array" ref="J215">DeltaC(B215,6,G215,0,0,0.2)</f>
        <v>0.5653737753821948</v>
      </c>
      <c r="K215" cm="1">
        <f t="array" ref="K215">GammaCP(B215,6,G215,0,0,0.2)</f>
        <v>0.50171863048911791</v>
      </c>
      <c r="M215">
        <f t="shared" si="18"/>
        <v>0.30100352051642693</v>
      </c>
      <c r="V215" cm="1">
        <f t="array" ref="V215">BSCall(B215,6.5,0,0.2,G215)</f>
        <v>0.15531710035485413</v>
      </c>
      <c r="W215" cm="1">
        <f t="array" ref="W215">DeltaC(B215,6.5,G215,0,0,0.2)</f>
        <v>0.32434961906577819</v>
      </c>
      <c r="X215" cm="1">
        <f t="array" ref="X215">GammaCP(B215,6.5,G215,0,0,0.2)</f>
        <v>0.45843356235961552</v>
      </c>
      <c r="Z215">
        <f t="shared" si="16"/>
        <v>1.0944195008469901</v>
      </c>
      <c r="AA215">
        <f t="shared" si="17"/>
        <v>0.21039922718431442</v>
      </c>
      <c r="AC215">
        <f t="shared" si="19"/>
        <v>0.34989726603505139</v>
      </c>
    </row>
    <row r="216" spans="1:29" x14ac:dyDescent="0.3">
      <c r="A216" s="2">
        <v>43314</v>
      </c>
      <c r="B216">
        <v>6.0359999999999996</v>
      </c>
      <c r="C216" s="5">
        <v>0.47050999999999998</v>
      </c>
      <c r="D216" s="5">
        <v>0.36942000000000003</v>
      </c>
      <c r="E216" s="7"/>
      <c r="G216">
        <f t="shared" si="15"/>
        <v>0.41369863013698632</v>
      </c>
      <c r="I216" s="8" cm="1">
        <f t="array" ref="I216">BSCall(B216,6,0,0.2,G216)</f>
        <v>0.32696090011139267</v>
      </c>
      <c r="J216" cm="1">
        <f t="array" ref="J216">DeltaC(B216,6,G216,0,0,0.2)</f>
        <v>0.54412135302660647</v>
      </c>
      <c r="K216" cm="1">
        <f t="array" ref="K216">GammaCP(B216,6,G216,0,0,0.2)</f>
        <v>0.51064829704683068</v>
      </c>
      <c r="M216">
        <f t="shared" si="18"/>
        <v>0.27725782195037435</v>
      </c>
      <c r="V216" cm="1">
        <f t="array" ref="V216">BSCall(B216,6.5,0,0.2,G216)</f>
        <v>0.14119733000790924</v>
      </c>
      <c r="W216" cm="1">
        <f t="array" ref="W216">DeltaC(B216,6.5,G216,0,0,0.2)</f>
        <v>0.304533395546564</v>
      </c>
      <c r="X216" cm="1">
        <f t="array" ref="X216">GammaCP(B216,6.5,G216,0,0,0.2)</f>
        <v>0.45081354343779673</v>
      </c>
      <c r="Z216">
        <f t="shared" si="16"/>
        <v>1.1327261669042779</v>
      </c>
      <c r="AA216">
        <f t="shared" si="17"/>
        <v>0.19916840719480272</v>
      </c>
      <c r="AC216">
        <f t="shared" si="19"/>
        <v>0.3256075464781325</v>
      </c>
    </row>
    <row r="217" spans="1:29" x14ac:dyDescent="0.3">
      <c r="A217" s="2">
        <v>43315</v>
      </c>
      <c r="B217">
        <v>6.1219999999999999</v>
      </c>
      <c r="C217" s="5">
        <v>0.52029000000000003</v>
      </c>
      <c r="D217" s="5">
        <v>0.40750999999999998</v>
      </c>
      <c r="E217" s="7"/>
      <c r="G217">
        <f t="shared" si="15"/>
        <v>0.41095890410958902</v>
      </c>
      <c r="I217" s="8" cm="1">
        <f t="array" ref="I217">BSCall(B217,6,0,0.2,G217)</f>
        <v>0.37460838240801264</v>
      </c>
      <c r="J217" cm="1">
        <f t="array" ref="J217">DeltaC(B217,6,G217,0,0,0.2)</f>
        <v>0.58749527264956303</v>
      </c>
      <c r="K217" cm="1">
        <f t="array" ref="K217">GammaCP(B217,6,G217,0,0,0.2)</f>
        <v>0.49598852420436912</v>
      </c>
      <c r="M217">
        <f t="shared" si="18"/>
        <v>0.32405225831066264</v>
      </c>
      <c r="V217" cm="1">
        <f t="array" ref="V217">BSCall(B217,6.5,0,0.2,G217)</f>
        <v>0.16811526054132253</v>
      </c>
      <c r="W217" cm="1">
        <f t="array" ref="W217">DeltaC(B217,6.5,G217,0,0,0.2)</f>
        <v>0.34340336622574796</v>
      </c>
      <c r="X217" cm="1">
        <f t="array" ref="X217">GammaCP(B217,6.5,G217,0,0,0.2)</f>
        <v>0.46858373461324693</v>
      </c>
      <c r="Z217">
        <f t="shared" si="16"/>
        <v>1.0584842954776079</v>
      </c>
      <c r="AA217">
        <f t="shared" si="17"/>
        <v>0.22400820248546321</v>
      </c>
      <c r="AC217">
        <f t="shared" si="19"/>
        <v>0.37322667377099444</v>
      </c>
    </row>
    <row r="218" spans="1:29" x14ac:dyDescent="0.3">
      <c r="A218" s="2">
        <v>43318</v>
      </c>
      <c r="B218">
        <v>6.0419999999999998</v>
      </c>
      <c r="C218" s="5">
        <v>0.46399000000000001</v>
      </c>
      <c r="D218" s="5">
        <v>0.36070999999999998</v>
      </c>
      <c r="E218" s="7"/>
      <c r="G218">
        <f t="shared" si="15"/>
        <v>0.40273972602739727</v>
      </c>
      <c r="I218" s="8" cm="1">
        <f t="array" ref="I218">BSCall(B218,6,0,0.2,G218)</f>
        <v>0.32612925140289883</v>
      </c>
      <c r="J218" cm="1">
        <f t="array" ref="J218">DeltaC(B218,6,G218,0,0,0.2)</f>
        <v>0.54713293715771927</v>
      </c>
      <c r="K218" cm="1">
        <f t="array" ref="K218">GammaCP(B218,6,G218,0,0,0.2)</f>
        <v>0.51658518263155639</v>
      </c>
      <c r="M218">
        <f t="shared" si="18"/>
        <v>0.27705263649869755</v>
      </c>
      <c r="V218" cm="1">
        <f t="array" ref="V218">BSCall(B218,6.5,0,0.2,G218)</f>
        <v>0.13939855114844968</v>
      </c>
      <c r="W218" cm="1">
        <f t="array" ref="W218">DeltaC(B218,6.5,G218,0,0,0.2)</f>
        <v>0.30424985894572809</v>
      </c>
      <c r="X218" cm="1">
        <f t="array" ref="X218">GammaCP(B218,6.5,G218,0,0,0.2)</f>
        <v>0.45626293229448045</v>
      </c>
      <c r="Z218">
        <f t="shared" si="16"/>
        <v>1.1322094039805601</v>
      </c>
      <c r="AA218">
        <f t="shared" si="17"/>
        <v>0.20265838569960698</v>
      </c>
      <c r="AC218">
        <f t="shared" si="19"/>
        <v>0.32490983166200715</v>
      </c>
    </row>
    <row r="219" spans="1:29" x14ac:dyDescent="0.3">
      <c r="A219" s="2">
        <v>43319</v>
      </c>
      <c r="B219">
        <v>6.1840000000000002</v>
      </c>
      <c r="C219" s="5">
        <v>0.54796999999999996</v>
      </c>
      <c r="D219" s="5">
        <v>0.42459999999999998</v>
      </c>
      <c r="E219" s="7"/>
      <c r="G219">
        <f t="shared" si="15"/>
        <v>0.4</v>
      </c>
      <c r="I219" s="8" cm="1">
        <f t="array" ref="I219">BSCall(B219,6,0,0.2,G219)</f>
        <v>0.40791917114317977</v>
      </c>
      <c r="J219" cm="1">
        <f t="array" ref="J219">DeltaC(B219,6,G219,0,0,0.2)</f>
        <v>0.61869062581808265</v>
      </c>
      <c r="K219" cm="1">
        <f t="array" ref="K219">GammaCP(B219,6,G219,0,0,0.2)</f>
        <v>0.48727055044478718</v>
      </c>
      <c r="M219">
        <f t="shared" si="18"/>
        <v>0.35474551357509387</v>
      </c>
      <c r="V219" cm="1">
        <f t="array" ref="V219">BSCall(B219,6.5,0,0.2,G219)</f>
        <v>0.18628895544769675</v>
      </c>
      <c r="W219" cm="1">
        <f t="array" ref="W219">DeltaC(B219,6.5,G219,0,0,0.2)</f>
        <v>0.37041686817582753</v>
      </c>
      <c r="X219" cm="1">
        <f t="array" ref="X219">GammaCP(B219,6.5,G219,0,0,0.2)</f>
        <v>0.48286499878836131</v>
      </c>
      <c r="Z219">
        <f t="shared" si="16"/>
        <v>1.0091237751079092</v>
      </c>
      <c r="AA219">
        <f t="shared" si="17"/>
        <v>0.24489415744084281</v>
      </c>
      <c r="AC219">
        <f t="shared" si="19"/>
        <v>0.40677707913540945</v>
      </c>
    </row>
    <row r="220" spans="1:29" x14ac:dyDescent="0.3">
      <c r="A220" s="2">
        <v>43320</v>
      </c>
      <c r="B220">
        <v>6.1879999999999997</v>
      </c>
      <c r="C220" s="5">
        <v>0.53742999999999996</v>
      </c>
      <c r="D220" s="5">
        <v>0.41166000000000003</v>
      </c>
      <c r="E220" s="7"/>
      <c r="G220">
        <f t="shared" si="15"/>
        <v>0.39726027397260272</v>
      </c>
      <c r="I220" s="8" cm="1">
        <f t="array" ref="I220">BSCall(B220,6,0,0.2,G220)</f>
        <v>0.40937605479591843</v>
      </c>
      <c r="J220" cm="1">
        <f t="array" ref="J220">DeltaC(B220,6,G220,0,0,0.2)</f>
        <v>0.62087450209136397</v>
      </c>
      <c r="K220" cm="1">
        <f t="array" ref="K220">GammaCP(B220,6,G220,0,0,0.2)</f>
        <v>0.48777819026873759</v>
      </c>
      <c r="M220">
        <f t="shared" si="18"/>
        <v>0.35722027607836593</v>
      </c>
      <c r="V220" cm="1">
        <f t="array" ref="V220">BSCall(B220,6.5,0,0.2,G220)</f>
        <v>0.18675883085080258</v>
      </c>
      <c r="W220" cm="1">
        <f t="array" ref="W220">DeltaC(B220,6.5,G220,0,0,0.2)</f>
        <v>0.37176091553732427</v>
      </c>
      <c r="X220" cm="1">
        <f t="array" ref="X220">GammaCP(B220,6.5,G220,0,0,0.2)</f>
        <v>0.48478081704036574</v>
      </c>
      <c r="Z220">
        <f t="shared" si="16"/>
        <v>1.0061829452053632</v>
      </c>
      <c r="AA220">
        <f t="shared" si="17"/>
        <v>0.24681500918377675</v>
      </c>
      <c r="AC220">
        <f t="shared" si="19"/>
        <v>0.40823081820578522</v>
      </c>
    </row>
    <row r="221" spans="1:29" x14ac:dyDescent="0.3">
      <c r="A221" s="2">
        <v>43321</v>
      </c>
      <c r="B221">
        <v>6.1580000000000004</v>
      </c>
      <c r="C221" s="5">
        <v>0.50807000000000002</v>
      </c>
      <c r="D221" s="5">
        <v>0.38590999999999998</v>
      </c>
      <c r="E221" s="7"/>
      <c r="G221">
        <f t="shared" si="15"/>
        <v>0.39452054794520547</v>
      </c>
      <c r="I221" s="8" cm="1">
        <f t="array" ref="I221">BSCall(B221,6,0,0.2,G221)</f>
        <v>0.38993894281786101</v>
      </c>
      <c r="J221" cm="1">
        <f t="array" ref="J221">DeltaC(B221,6,G221,0,0,0.2)</f>
        <v>0.6063130673810162</v>
      </c>
      <c r="K221" cm="1">
        <f t="array" ref="K221">GammaCP(B221,6,G221,0,0,0.2)</f>
        <v>0.49728811323303973</v>
      </c>
      <c r="M221">
        <f t="shared" si="18"/>
        <v>0.3385940410156254</v>
      </c>
      <c r="V221" cm="1">
        <f t="array" ref="V221">BSCall(B221,6.5,0,0.2,G221)</f>
        <v>0.17482336589208147</v>
      </c>
      <c r="W221" cm="1">
        <f t="array" ref="W221">DeltaC(B221,6.5,G221,0,0,0.2)</f>
        <v>0.35664166825970722</v>
      </c>
      <c r="X221" cm="1">
        <f t="array" ref="X221">GammaCP(B221,6.5,G221,0,0,0.2)</f>
        <v>0.48204374267169997</v>
      </c>
      <c r="Z221">
        <f t="shared" si="16"/>
        <v>1.0316244548199065</v>
      </c>
      <c r="AA221">
        <f t="shared" si="17"/>
        <v>0.2383928007965338</v>
      </c>
      <c r="AC221">
        <f t="shared" si="19"/>
        <v>0.38881710664571068</v>
      </c>
    </row>
    <row r="222" spans="1:29" x14ac:dyDescent="0.3">
      <c r="A222" s="2">
        <v>43322</v>
      </c>
      <c r="B222">
        <v>6.0179999999999998</v>
      </c>
      <c r="C222" s="5">
        <v>0.42363000000000001</v>
      </c>
      <c r="D222" s="5">
        <v>0.32173000000000002</v>
      </c>
      <c r="E222" s="7"/>
      <c r="G222">
        <f t="shared" si="15"/>
        <v>0.39178082191780822</v>
      </c>
      <c r="I222" s="8" cm="1">
        <f t="array" ref="I222">BSCall(B222,6,0,0.2,G222)</f>
        <v>0.30898842252542691</v>
      </c>
      <c r="J222" cm="1">
        <f t="array" ref="J222">DeltaC(B222,6,G222,0,0,0.2)</f>
        <v>0.53447390585336318</v>
      </c>
      <c r="K222" cm="1">
        <f t="array" ref="K222">GammaCP(B222,6,G222,0,0,0.2)</f>
        <v>0.52757080920668964</v>
      </c>
      <c r="M222">
        <f t="shared" si="18"/>
        <v>0.2537102115822828</v>
      </c>
      <c r="V222" cm="1">
        <f t="array" ref="V222">BSCall(B222,6.5,0,0.2,G222)</f>
        <v>0.1286353740911137</v>
      </c>
      <c r="W222" cm="1">
        <f t="array" ref="W222">DeltaC(B222,6.5,G222,0,0,0.2)</f>
        <v>0.29017439763802549</v>
      </c>
      <c r="X222" cm="1">
        <f t="array" ref="X222">GammaCP(B222,6.5,G222,0,0,0.2)</f>
        <v>0.45449662490053494</v>
      </c>
      <c r="Z222">
        <f t="shared" si="16"/>
        <v>1.1607804773515022</v>
      </c>
      <c r="AA222">
        <f t="shared" si="17"/>
        <v>0.19764513004791134</v>
      </c>
      <c r="AC222">
        <f t="shared" si="19"/>
        <v>0.30779345267329616</v>
      </c>
    </row>
    <row r="223" spans="1:29" x14ac:dyDescent="0.3">
      <c r="A223" s="2">
        <v>43325</v>
      </c>
      <c r="B223">
        <v>5.9139999999999997</v>
      </c>
      <c r="C223" s="5">
        <v>0.37775999999999998</v>
      </c>
      <c r="D223" s="5">
        <v>0.28933999999999999</v>
      </c>
      <c r="E223" s="7"/>
      <c r="G223">
        <f t="shared" si="15"/>
        <v>0.38356164383561642</v>
      </c>
      <c r="I223" s="8" cm="1">
        <f t="array" ref="I223">BSCall(B223,6,0,0.2,G223)</f>
        <v>0.25316965258331914</v>
      </c>
      <c r="J223" cm="1">
        <f t="array" ref="J223">DeltaC(B223,6,G223,0,0,0.2)</f>
        <v>0.47821955851373132</v>
      </c>
      <c r="K223" cm="1">
        <f t="array" ref="K223">GammaCP(B223,6,G223,0,0,0.2)</f>
        <v>0.54379257975222384</v>
      </c>
      <c r="M223">
        <f t="shared" si="18"/>
        <v>0.19812492537353299</v>
      </c>
      <c r="V223" cm="1">
        <f t="array" ref="V223">BSCall(B223,6.5,0,0.2,G223)</f>
        <v>9.8419702779602991E-2</v>
      </c>
      <c r="W223" cm="1">
        <f t="array" ref="W223">DeltaC(B223,6.5,G223,0,0,0.2)</f>
        <v>0.24170349942757352</v>
      </c>
      <c r="X223" cm="1">
        <f t="array" ref="X223">GammaCP(B223,6.5,G223,0,0,0.2)</f>
        <v>0.42601560767026347</v>
      </c>
      <c r="Z223">
        <f t="shared" si="16"/>
        <v>1.2764616365255796</v>
      </c>
      <c r="AA223">
        <f t="shared" si="17"/>
        <v>0.16969431408045133</v>
      </c>
      <c r="AC223">
        <f t="shared" si="19"/>
        <v>0.25216459777984185</v>
      </c>
    </row>
    <row r="224" spans="1:29" x14ac:dyDescent="0.3">
      <c r="A224" s="2">
        <v>43326</v>
      </c>
      <c r="B224">
        <v>5.8920000000000003</v>
      </c>
      <c r="C224" s="5">
        <v>0.38357000000000002</v>
      </c>
      <c r="D224" s="5">
        <v>0.29766999999999999</v>
      </c>
      <c r="E224" s="7"/>
      <c r="G224">
        <f t="shared" si="15"/>
        <v>0.38082191780821917</v>
      </c>
      <c r="I224" s="8" cm="1">
        <f t="array" ref="I224">BSCall(B224,6,0,0.2,G224)</f>
        <v>0.24174257185991177</v>
      </c>
      <c r="J224" cm="1">
        <f t="array" ref="J224">DeltaC(B224,6,G224,0,0,0.2)</f>
        <v>0.46594808104089952</v>
      </c>
      <c r="K224" cm="1">
        <f t="array" ref="K224">GammaCP(B224,6,G224,0,0,0.2)</f>
        <v>0.54660106084858506</v>
      </c>
      <c r="M224">
        <f t="shared" si="18"/>
        <v>0.18760409508623122</v>
      </c>
      <c r="V224" cm="1">
        <f t="array" ref="V224">BSCall(B224,6.5,0,0.2,G224)</f>
        <v>9.2408116165106913E-2</v>
      </c>
      <c r="W224" cm="1">
        <f t="array" ref="W224">DeltaC(B224,6.5,G224,0,0,0.2)</f>
        <v>0.23147726015856482</v>
      </c>
      <c r="X224" cm="1">
        <f t="array" ref="X224">GammaCP(B224,6.5,G224,0,0,0.2)</f>
        <v>0.41905401826387156</v>
      </c>
      <c r="Z224">
        <f t="shared" si="16"/>
        <v>1.3043689763747812</v>
      </c>
      <c r="AA224">
        <f t="shared" si="17"/>
        <v>0.16401632415383338</v>
      </c>
      <c r="AC224">
        <f t="shared" si="19"/>
        <v>0.24075776318201708</v>
      </c>
    </row>
    <row r="225" spans="1:29" x14ac:dyDescent="0.3">
      <c r="A225" s="2">
        <v>43327</v>
      </c>
      <c r="B225">
        <v>5.8179999999999996</v>
      </c>
      <c r="C225" s="5">
        <v>0.35991000000000001</v>
      </c>
      <c r="D225" s="5">
        <v>0.28298000000000001</v>
      </c>
      <c r="E225" s="7"/>
      <c r="G225">
        <f t="shared" si="15"/>
        <v>0.37808219178082192</v>
      </c>
      <c r="I225" s="8" cm="1">
        <f t="array" ref="I225">BSCall(B225,6,0,0.2,G225)</f>
        <v>0.20774548673614701</v>
      </c>
      <c r="J225" cm="1">
        <f t="array" ref="J225">DeltaC(B225,6,G225,0,0,0.2)</f>
        <v>0.4250506960786074</v>
      </c>
      <c r="K225" cm="1">
        <f t="array" ref="K225">GammaCP(B225,6,G225,0,0,0.2)</f>
        <v>0.54771851717774744</v>
      </c>
      <c r="M225">
        <f t="shared" si="18"/>
        <v>0.1531239370892043</v>
      </c>
      <c r="V225" cm="1">
        <f t="array" ref="V225">BSCall(B225,6.5,0,0.2,G225)</f>
        <v>7.56751709106398E-2</v>
      </c>
      <c r="W225" cm="1">
        <f t="array" ref="W225">DeltaC(B225,6.5,G225,0,0,0.2)</f>
        <v>0.20049185438451847</v>
      </c>
      <c r="X225" cm="1">
        <f t="array" ref="X225">GammaCP(B225,6.5,G225,0,0,0.2)</f>
        <v>0.39187102264016421</v>
      </c>
      <c r="Z225">
        <f t="shared" si="16"/>
        <v>1.3977009922488968</v>
      </c>
      <c r="AA225">
        <f t="shared" si="17"/>
        <v>0.14482303226754462</v>
      </c>
      <c r="AC225">
        <f t="shared" si="19"/>
        <v>0.20679462052132877</v>
      </c>
    </row>
    <row r="226" spans="1:29" x14ac:dyDescent="0.3">
      <c r="A226" s="2">
        <v>43328</v>
      </c>
      <c r="B226">
        <v>5.85</v>
      </c>
      <c r="C226" s="5">
        <v>0.39040999999999998</v>
      </c>
      <c r="D226" s="5">
        <v>0.30930000000000002</v>
      </c>
      <c r="E226" s="7"/>
      <c r="G226">
        <f t="shared" si="15"/>
        <v>0.37534246575342467</v>
      </c>
      <c r="I226" s="8" cm="1">
        <f t="array" ref="I226">BSCall(B226,6,0,0.2,G226)</f>
        <v>0.22059688233127872</v>
      </c>
      <c r="J226" cm="1">
        <f t="array" ref="J226">DeltaC(B226,6,G226,0,0,0.2)</f>
        <v>0.4422135158975492</v>
      </c>
      <c r="K226" cm="1">
        <f t="array" ref="K226">GammaCP(B226,6,G226,0,0,0.2)</f>
        <v>0.55070898808911672</v>
      </c>
      <c r="M226">
        <f t="shared" si="18"/>
        <v>0.16672555936371974</v>
      </c>
      <c r="V226" cm="1">
        <f t="array" ref="V226">BSCall(B226,6.5,0,0.2,G226)</f>
        <v>8.1535343253344328E-2</v>
      </c>
      <c r="W226" cm="1">
        <f t="array" ref="W226">DeltaC(B226,6.5,G226,0,0,0.2)</f>
        <v>0.21225908763137791</v>
      </c>
      <c r="X226" cm="1">
        <f t="array" ref="X226">GammaCP(B226,6.5,G226,0,0,0.2)</f>
        <v>0.40459413591471616</v>
      </c>
      <c r="Z226">
        <f t="shared" si="16"/>
        <v>1.361139322605506</v>
      </c>
      <c r="AA226">
        <f t="shared" si="17"/>
        <v>0.15329932514211275</v>
      </c>
      <c r="AC226">
        <f t="shared" si="19"/>
        <v>0.21961972625203788</v>
      </c>
    </row>
    <row r="227" spans="1:29" x14ac:dyDescent="0.3">
      <c r="A227" s="2">
        <v>43329</v>
      </c>
      <c r="B227">
        <v>5.7939999999999996</v>
      </c>
      <c r="C227" s="5">
        <v>0.37034</v>
      </c>
      <c r="D227" s="5">
        <v>0.29548999999999997</v>
      </c>
      <c r="E227" s="7"/>
      <c r="G227">
        <f t="shared" si="15"/>
        <v>0.37260273972602742</v>
      </c>
      <c r="I227" s="8" cm="1">
        <f t="array" ref="I227">BSCall(B227,6,0,0.2,G227)</f>
        <v>0.19568568796285124</v>
      </c>
      <c r="J227" cm="1">
        <f t="array" ref="J227">DeltaC(B227,6,G227,0,0,0.2)</f>
        <v>0.41093873089999794</v>
      </c>
      <c r="K227" cm="1">
        <f t="array" ref="K227">GammaCP(B227,6,G227,0,0,0.2)</f>
        <v>0.54988602919063123</v>
      </c>
      <c r="M227">
        <f t="shared" si="18"/>
        <v>0.14196160247345696</v>
      </c>
      <c r="V227" cm="1">
        <f t="array" ref="V227">BSCall(B227,6.5,0,0.2,G227)</f>
        <v>6.9568117658686646E-2</v>
      </c>
      <c r="W227" cm="1">
        <f t="array" ref="W227">DeltaC(B227,6.5,G227,0,0,0.2)</f>
        <v>0.18921956954067368</v>
      </c>
      <c r="X227" cm="1">
        <f t="array" ref="X227">GammaCP(B227,6.5,G227,0,0,0.2)</f>
        <v>0.38266882195872864</v>
      </c>
      <c r="Z227">
        <f t="shared" si="16"/>
        <v>1.4369763033632701</v>
      </c>
      <c r="AA227">
        <f t="shared" si="17"/>
        <v>0.13903469333745144</v>
      </c>
      <c r="AC227">
        <f t="shared" si="19"/>
        <v>0.19474590270469994</v>
      </c>
    </row>
    <row r="228" spans="1:29" x14ac:dyDescent="0.3">
      <c r="A228" s="2">
        <v>43332</v>
      </c>
      <c r="B228">
        <v>5.86</v>
      </c>
      <c r="C228" s="5">
        <v>0.40790999999999999</v>
      </c>
      <c r="D228" s="5">
        <v>0.32482</v>
      </c>
      <c r="E228" s="7"/>
      <c r="G228">
        <f t="shared" si="15"/>
        <v>0.36438356164383562</v>
      </c>
      <c r="I228" s="8" cm="1">
        <f t="array" ref="I228">BSCall(B228,6,0,0.2,G228)</f>
        <v>0.22087106552356239</v>
      </c>
      <c r="J228" cm="1">
        <f t="array" ref="J228">DeltaC(B228,6,G228,0,0,0.2)</f>
        <v>0.44622780012829433</v>
      </c>
      <c r="K228" cm="1">
        <f t="array" ref="K228">GammaCP(B228,6,G228,0,0,0.2)</f>
        <v>0.55877113135812873</v>
      </c>
      <c r="M228">
        <f t="shared" si="18"/>
        <v>0.16908355871285713</v>
      </c>
      <c r="V228" cm="1">
        <f t="array" ref="V228">BSCall(B228,6.5,0,0.2,G228)</f>
        <v>8.0598144642644032E-2</v>
      </c>
      <c r="W228" cm="1">
        <f t="array" ref="W228">DeltaC(B228,6.5,G228,0,0,0.2)</f>
        <v>0.21237840397680768</v>
      </c>
      <c r="X228" cm="1">
        <f t="array" ref="X228">GammaCP(B228,6.5,G228,0,0,0.2)</f>
        <v>0.41006710145568731</v>
      </c>
      <c r="Z228">
        <f t="shared" si="16"/>
        <v>1.362633406519471</v>
      </c>
      <c r="AA228">
        <f t="shared" si="17"/>
        <v>0.15683389204620851</v>
      </c>
      <c r="AC228">
        <f t="shared" si="19"/>
        <v>0.21977207986637604</v>
      </c>
    </row>
    <row r="229" spans="1:29" x14ac:dyDescent="0.3">
      <c r="A229" s="2">
        <v>43333</v>
      </c>
      <c r="B229">
        <v>5.8620000000000001</v>
      </c>
      <c r="C229" s="5">
        <v>0.40916000000000002</v>
      </c>
      <c r="D229" s="5">
        <v>0.32557999999999998</v>
      </c>
      <c r="E229" s="7"/>
      <c r="G229">
        <f t="shared" si="15"/>
        <v>0.36164383561643837</v>
      </c>
      <c r="I229" s="8" cm="1">
        <f t="array" ref="I229">BSCall(B229,6,0,0.2,G229)</f>
        <v>0.22071056764182373</v>
      </c>
      <c r="J229" cm="1">
        <f t="array" ref="J229">DeltaC(B229,6,G229,0,0,0.2)</f>
        <v>0.44696730912651356</v>
      </c>
      <c r="K229" cm="1">
        <f t="array" ref="K229">GammaCP(B229,6,G229,0,0,0.2)</f>
        <v>0.56083315814466272</v>
      </c>
      <c r="M229">
        <f t="shared" si="18"/>
        <v>0.16997601431311363</v>
      </c>
      <c r="V229" cm="1">
        <f t="array" ref="V229">BSCall(B229,6.5,0,0.2,G229)</f>
        <v>8.0249734242981985E-2</v>
      </c>
      <c r="W229" cm="1">
        <f t="array" ref="W229">DeltaC(B229,6.5,G229,0,0,0.2)</f>
        <v>0.21219389446212877</v>
      </c>
      <c r="X229" cm="1">
        <f t="array" ref="X229">GammaCP(B229,6.5,G229,0,0,0.2)</f>
        <v>0.41126804887198565</v>
      </c>
      <c r="Z229">
        <f t="shared" si="16"/>
        <v>1.363668195676518</v>
      </c>
      <c r="AA229">
        <f t="shared" si="17"/>
        <v>0.15760524393176895</v>
      </c>
      <c r="AC229">
        <f t="shared" si="19"/>
        <v>0.21961099200071013</v>
      </c>
    </row>
    <row r="230" spans="1:29" x14ac:dyDescent="0.3">
      <c r="A230" s="2">
        <v>43334</v>
      </c>
      <c r="B230">
        <v>5.9080000000000004</v>
      </c>
      <c r="C230" s="5">
        <v>0.43098999999999998</v>
      </c>
      <c r="D230" s="5">
        <v>0.34200000000000003</v>
      </c>
      <c r="E230" s="7"/>
      <c r="G230">
        <f t="shared" si="15"/>
        <v>0.35890410958904112</v>
      </c>
      <c r="I230" s="8" cm="1">
        <f t="array" ref="I230">BSCall(B230,6,0,0.2,G230)</f>
        <v>0.24079109353388306</v>
      </c>
      <c r="J230" cm="1">
        <f t="array" ref="J230">DeltaC(B230,6,G230,0,0,0.2)</f>
        <v>0.47247277143967825</v>
      </c>
      <c r="K230" cm="1">
        <f t="array" ref="K230">GammaCP(B230,6,G230,0,0,0.2)</f>
        <v>0.56223110623280559</v>
      </c>
      <c r="M230">
        <f t="shared" si="18"/>
        <v>0.19053651053293336</v>
      </c>
      <c r="V230" cm="1">
        <f t="array" ref="V230">BSCall(B230,6.5,0,0.2,G230)</f>
        <v>8.9631208377926486E-2</v>
      </c>
      <c r="W230" cm="1">
        <f t="array" ref="W230">DeltaC(B230,6.5,G230,0,0,0.2)</f>
        <v>0.23053213276788523</v>
      </c>
      <c r="X230" cm="1">
        <f t="array" ref="X230">GammaCP(B230,6.5,G230,0,0,0.2)</f>
        <v>0.4295088766248944</v>
      </c>
      <c r="Z230">
        <f t="shared" si="16"/>
        <v>1.3090092820685109</v>
      </c>
      <c r="AA230">
        <f t="shared" si="17"/>
        <v>0.17070406983146619</v>
      </c>
      <c r="AC230">
        <f t="shared" si="19"/>
        <v>0.23965405112795723</v>
      </c>
    </row>
    <row r="231" spans="1:29" x14ac:dyDescent="0.3">
      <c r="A231" s="2">
        <v>43335</v>
      </c>
      <c r="B231">
        <v>5.8879999999999999</v>
      </c>
      <c r="C231" s="5">
        <v>0.41585</v>
      </c>
      <c r="D231" s="5">
        <v>0.32895999999999997</v>
      </c>
      <c r="E231" s="7"/>
      <c r="G231">
        <f t="shared" si="15"/>
        <v>0.35616438356164382</v>
      </c>
      <c r="I231" s="8" cm="1">
        <f t="array" ref="I231">BSCall(B231,6,0,0.2,G231)</f>
        <v>0.23038297854403122</v>
      </c>
      <c r="J231" cm="1">
        <f t="array" ref="J231">DeltaC(B231,6,G231,0,0,0.2)</f>
        <v>0.46089091741558252</v>
      </c>
      <c r="K231" cm="1">
        <f t="array" ref="K231">GammaCP(B231,6,G231,0,0,0.2)</f>
        <v>0.56492848122532813</v>
      </c>
      <c r="M231">
        <f t="shared" si="18"/>
        <v>0.18108705510413958</v>
      </c>
      <c r="V231" cm="1">
        <f t="array" ref="V231">BSCall(B231,6.5,0,0.2,G231)</f>
        <v>8.430400840131913E-2</v>
      </c>
      <c r="W231" cm="1">
        <f t="array" ref="W231">DeltaC(B231,6.5,G231,0,0,0.2)</f>
        <v>0.22100777982138761</v>
      </c>
      <c r="X231" cm="1">
        <f t="array" ref="X231">GammaCP(B231,6.5,G231,0,0,0.2)</f>
        <v>0.4224189331605907</v>
      </c>
      <c r="Z231">
        <f t="shared" si="16"/>
        <v>1.3373654371939803</v>
      </c>
      <c r="AA231">
        <f t="shared" si="17"/>
        <v>0.16532275133148155</v>
      </c>
      <c r="AC231">
        <f t="shared" si="19"/>
        <v>0.22926661551451363</v>
      </c>
    </row>
    <row r="232" spans="1:29" x14ac:dyDescent="0.3">
      <c r="A232" s="2">
        <v>43336</v>
      </c>
      <c r="B232">
        <v>5.91</v>
      </c>
      <c r="C232" s="5">
        <v>0.42442000000000002</v>
      </c>
      <c r="D232" s="5">
        <v>0.33473000000000003</v>
      </c>
      <c r="E232" s="7"/>
      <c r="G232">
        <f t="shared" si="15"/>
        <v>0.35342465753424657</v>
      </c>
      <c r="I232" s="8" cm="1">
        <f t="array" ref="I232">BSCall(B232,6,0,0.2,G232)</f>
        <v>0.23957723480635229</v>
      </c>
      <c r="J232" cm="1">
        <f t="array" ref="J232">DeltaC(B232,6,G232,0,0,0.2)</f>
        <v>0.47302669194099656</v>
      </c>
      <c r="K232" cm="1">
        <f t="array" ref="K232">GammaCP(B232,6,G232,0,0,0.2)</f>
        <v>0.56643487662888525</v>
      </c>
      <c r="M232">
        <f t="shared" si="18"/>
        <v>0.1912266552872825</v>
      </c>
      <c r="V232" cm="1">
        <f t="array" ref="V232">BSCall(B232,6.5,0,0.2,G232)</f>
        <v>8.8443885011709078E-2</v>
      </c>
      <c r="W232" cm="1">
        <f t="array" ref="W232">DeltaC(B232,6.5,G232,0,0,0.2)</f>
        <v>0.22938841248911568</v>
      </c>
      <c r="X232" cm="1">
        <f t="array" ref="X232">GammaCP(B232,6.5,G232,0,0,0.2)</f>
        <v>0.4314763463760799</v>
      </c>
      <c r="Z232">
        <f t="shared" si="16"/>
        <v>1.312783148801334</v>
      </c>
      <c r="AA232">
        <f t="shared" si="17"/>
        <v>0.17188944949499602</v>
      </c>
      <c r="AC232">
        <f t="shared" si="19"/>
        <v>0.23844024393678956</v>
      </c>
    </row>
    <row r="233" spans="1:29" x14ac:dyDescent="0.3">
      <c r="A233" s="2">
        <v>43339</v>
      </c>
      <c r="B233">
        <v>5.9480000000000004</v>
      </c>
      <c r="C233" s="5">
        <v>0.43608000000000002</v>
      </c>
      <c r="D233" s="5">
        <v>0.34090999999999999</v>
      </c>
      <c r="E233" s="7"/>
      <c r="G233">
        <f t="shared" si="15"/>
        <v>0.34520547945205482</v>
      </c>
      <c r="I233" s="8" cm="1">
        <f t="array" ref="I233">BSCall(B233,6,0,0.2,G233)</f>
        <v>0.25466113129583334</v>
      </c>
      <c r="J233" cm="1">
        <f t="array" ref="J233">DeltaC(B233,6,G233,0,0,0.2)</f>
        <v>0.49388809479955237</v>
      </c>
      <c r="K233" cm="1">
        <f t="array" ref="K233">GammaCP(B233,6,G233,0,0,0.2)</f>
        <v>0.570715015771319</v>
      </c>
      <c r="M233">
        <f t="shared" si="18"/>
        <v>0.2092016695810405</v>
      </c>
      <c r="V233" cm="1">
        <f t="array" ref="V233">BSCall(B233,6.5,0,0.2,G233)</f>
        <v>9.4877772167391905E-2</v>
      </c>
      <c r="W233" cm="1">
        <f t="array" ref="W233">DeltaC(B233,6.5,G233,0,0,0.2)</f>
        <v>0.24306200057159966</v>
      </c>
      <c r="X233" cm="1">
        <f t="array" ref="X233">GammaCP(B233,6.5,G233,0,0,0.2)</f>
        <v>0.44785091569483104</v>
      </c>
      <c r="Z233">
        <f t="shared" si="16"/>
        <v>1.274341518060462</v>
      </c>
      <c r="AA233">
        <f t="shared" si="17"/>
        <v>0.18414409600832715</v>
      </c>
      <c r="AC233">
        <f t="shared" si="19"/>
        <v>0.25341834165686922</v>
      </c>
    </row>
    <row r="234" spans="1:29" x14ac:dyDescent="0.3">
      <c r="A234" s="2">
        <v>43340</v>
      </c>
      <c r="B234">
        <v>5.93</v>
      </c>
      <c r="C234" s="5">
        <v>0.42003000000000001</v>
      </c>
      <c r="D234" s="5">
        <v>0.32678000000000001</v>
      </c>
      <c r="E234" s="7"/>
      <c r="G234">
        <f t="shared" si="15"/>
        <v>0.34246575342465752</v>
      </c>
      <c r="I234" s="8" cm="1">
        <f t="array" ref="I234">BSCall(B234,6,0,0.2,G234)</f>
        <v>0.24475928205168396</v>
      </c>
      <c r="J234" cm="1">
        <f t="array" ref="J234">DeltaC(B234,6,G234,0,0,0.2)</f>
        <v>0.48335079110548451</v>
      </c>
      <c r="K234" cm="1">
        <f t="array" ref="K234">GammaCP(B234,6,G234,0,0,0.2)</f>
        <v>0.57429942691101077</v>
      </c>
      <c r="M234">
        <f t="shared" si="18"/>
        <v>0.20031168387464823</v>
      </c>
      <c r="V234" cm="1">
        <f t="array" ref="V234">BSCall(B234,6.5,0,0.2,G234)</f>
        <v>8.9724316373273938E-2</v>
      </c>
      <c r="W234" cm="1">
        <f t="array" ref="W234">DeltaC(B234,6.5,G234,0,0,0.2)</f>
        <v>0.23403259975606194</v>
      </c>
      <c r="X234" cm="1">
        <f t="array" ref="X234">GammaCP(B234,6.5,G234,0,0,0.2)</f>
        <v>0.44175361811141606</v>
      </c>
      <c r="Z234">
        <f t="shared" si="16"/>
        <v>1.3000446478882375</v>
      </c>
      <c r="AA234">
        <f t="shared" si="17"/>
        <v>0.17909796236124614</v>
      </c>
      <c r="AC234">
        <f t="shared" si="19"/>
        <v>0.24353648524878543</v>
      </c>
    </row>
    <row r="235" spans="1:29" x14ac:dyDescent="0.3">
      <c r="A235" s="2">
        <v>43341</v>
      </c>
      <c r="B235">
        <v>5.8520000000000003</v>
      </c>
      <c r="C235" s="5">
        <v>0.37724000000000002</v>
      </c>
      <c r="D235" s="5">
        <v>0.29347000000000001</v>
      </c>
      <c r="E235" s="7"/>
      <c r="G235">
        <f t="shared" si="15"/>
        <v>0.33972602739726027</v>
      </c>
      <c r="I235" s="8" cm="1">
        <f t="array" ref="I235">BSCall(B235,6,0,0.2,G235)</f>
        <v>0.20772600446274359</v>
      </c>
      <c r="J235" cm="1">
        <f t="array" ref="J235">DeltaC(B235,6,G235,0,0,0.2)</f>
        <v>0.43802926711619661</v>
      </c>
      <c r="K235" cm="1">
        <f t="array" ref="K235">GammaCP(B235,6,G235,0,0,0.2)</f>
        <v>0.57773548054291912</v>
      </c>
      <c r="M235">
        <f t="shared" si="18"/>
        <v>0.16261032216842072</v>
      </c>
      <c r="V235" cm="1">
        <f t="array" ref="V235">BSCall(B235,6.5,0,0.2,G235)</f>
        <v>7.2012844088630734E-2</v>
      </c>
      <c r="W235" cm="1">
        <f t="array" ref="W235">DeltaC(B235,6.5,G235,0,0,0.2)</f>
        <v>0.1997247273353453</v>
      </c>
      <c r="X235" cm="1">
        <f t="array" ref="X235">GammaCP(B235,6.5,G235,0,0,0.2)</f>
        <v>0.41005347078031679</v>
      </c>
      <c r="Z235">
        <f t="shared" si="16"/>
        <v>1.4089271807491583</v>
      </c>
      <c r="AA235">
        <f t="shared" si="17"/>
        <v>0.15663167010571422</v>
      </c>
      <c r="AC235">
        <f t="shared" si="19"/>
        <v>0.20654113943473709</v>
      </c>
    </row>
    <row r="236" spans="1:29" x14ac:dyDescent="0.3">
      <c r="A236" s="2">
        <v>43342</v>
      </c>
      <c r="B236">
        <v>5.7919999999999998</v>
      </c>
      <c r="C236" s="5">
        <v>0.35283999999999999</v>
      </c>
      <c r="D236" s="5">
        <v>0.27567000000000003</v>
      </c>
      <c r="E236" s="7"/>
      <c r="G236">
        <f t="shared" si="15"/>
        <v>0.33698630136986302</v>
      </c>
      <c r="I236" s="8" cm="1">
        <f t="array" ref="I236">BSCall(B236,6,0,0.2,G236)</f>
        <v>0.18142617468263156</v>
      </c>
      <c r="J236" cm="1">
        <f t="array" ref="J236">DeltaC(B236,6,G236,0,0,0.2)</f>
        <v>0.4029036863935313</v>
      </c>
      <c r="K236" cm="1">
        <f t="array" ref="K236">GammaCP(B236,6,G236,0,0,0.2)</f>
        <v>0.57560131311829266</v>
      </c>
      <c r="M236">
        <f t="shared" si="18"/>
        <v>0.1363285661414487</v>
      </c>
      <c r="V236" cm="1">
        <f t="array" ref="V236">BSCall(B236,6.5,0,0.2,G236)</f>
        <v>6.0047318576205932E-2</v>
      </c>
      <c r="W236" cm="1">
        <f t="array" ref="W236">DeltaC(B236,6.5,G236,0,0,0.2)</f>
        <v>0.17482686281504195</v>
      </c>
      <c r="X236" cm="1">
        <f t="array" ref="X236">GammaCP(B236,6.5,G236,0,0,0.2)</f>
        <v>0.38309261792504773</v>
      </c>
      <c r="Z236">
        <f t="shared" si="16"/>
        <v>1.5025121502887047</v>
      </c>
      <c r="AA236">
        <f t="shared" si="17"/>
        <v>0.14022420081707426</v>
      </c>
      <c r="AC236">
        <f t="shared" si="19"/>
        <v>0.18028468510199136</v>
      </c>
    </row>
    <row r="237" spans="1:29" x14ac:dyDescent="0.3">
      <c r="A237" s="2">
        <v>43343</v>
      </c>
      <c r="B237">
        <v>5.75</v>
      </c>
      <c r="C237" s="5">
        <v>0.34060000000000001</v>
      </c>
      <c r="D237" s="5">
        <v>0.26768999999999998</v>
      </c>
      <c r="E237" s="7"/>
      <c r="G237">
        <f t="shared" si="15"/>
        <v>0.33424657534246577</v>
      </c>
      <c r="I237" s="8" cm="1">
        <f t="array" ref="I237">BSCall(B237,6,0,0.2,G237)</f>
        <v>0.16397622647482413</v>
      </c>
      <c r="J237" cm="1">
        <f t="array" ref="J237">DeltaC(B237,6,G237,0,0,0.2)</f>
        <v>0.3781819481034116</v>
      </c>
      <c r="K237" cm="1">
        <f t="array" ref="K237">GammaCP(B237,6,G237,0,0,0.2)</f>
        <v>0.57184191972935183</v>
      </c>
      <c r="M237">
        <f t="shared" si="18"/>
        <v>0.11940661131292046</v>
      </c>
      <c r="V237" cm="1">
        <f t="array" ref="V237">BSCall(B237,6.5,0,0.2,G237)</f>
        <v>5.2378830224915074E-2</v>
      </c>
      <c r="W237" cm="1">
        <f t="array" ref="W237">DeltaC(B237,6.5,G237,0,0,0.2)</f>
        <v>0.15805067314978441</v>
      </c>
      <c r="X237" cm="1">
        <f t="array" ref="X237">GammaCP(B237,6.5,G237,0,0,0.2)</f>
        <v>0.36303096344685515</v>
      </c>
      <c r="Z237">
        <f t="shared" si="16"/>
        <v>1.5751877313711973</v>
      </c>
      <c r="AA237">
        <f t="shared" si="17"/>
        <v>0.12922246682291211</v>
      </c>
      <c r="AC237">
        <f t="shared" si="19"/>
        <v>0.16287327174551236</v>
      </c>
    </row>
    <row r="238" spans="1:29" x14ac:dyDescent="0.3">
      <c r="A238" s="2">
        <v>43346</v>
      </c>
      <c r="B238">
        <v>5.7759999999999998</v>
      </c>
      <c r="C238" s="5">
        <v>0.35619000000000001</v>
      </c>
      <c r="D238" s="5">
        <v>0.27953</v>
      </c>
      <c r="E238" s="7"/>
      <c r="G238">
        <f t="shared" si="15"/>
        <v>0.32602739726027397</v>
      </c>
      <c r="I238" s="8" cm="1">
        <f t="array" ref="I238">BSCall(B238,6,0,0.2,G238)</f>
        <v>0.17082754681129719</v>
      </c>
      <c r="J238" cm="1">
        <f t="array" ref="J238">DeltaC(B238,6,G238,0,0,0.2)</f>
        <v>0.39124384416526103</v>
      </c>
      <c r="K238" cm="1">
        <f t="array" ref="K238">GammaCP(B238,6,G238,0,0,0.2)</f>
        <v>0.58220375856792494</v>
      </c>
      <c r="M238">
        <f t="shared" si="18"/>
        <v>0.12923934196360909</v>
      </c>
      <c r="V238" cm="1">
        <f t="array" ref="V238">BSCall(B238,6.5,0,0.2,G238)</f>
        <v>5.4553420244323525E-2</v>
      </c>
      <c r="W238" cm="1">
        <f t="array" ref="W238">DeltaC(B238,6.5,G238,0,0,0.2)</f>
        <v>0.16428640810893272</v>
      </c>
      <c r="X238" cm="1">
        <f t="array" ref="X238">GammaCP(B238,6.5,G238,0,0,0.2)</f>
        <v>0.37528018885498649</v>
      </c>
      <c r="Z238">
        <f t="shared" si="16"/>
        <v>1.5513842080081042</v>
      </c>
      <c r="AA238">
        <f t="shared" si="17"/>
        <v>0.13637250503468828</v>
      </c>
      <c r="AC238">
        <f t="shared" si="19"/>
        <v>0.16965844340224248</v>
      </c>
    </row>
    <row r="239" spans="1:29" x14ac:dyDescent="0.3">
      <c r="A239" s="2">
        <v>43347</v>
      </c>
      <c r="B239">
        <v>5.7859999999999996</v>
      </c>
      <c r="C239" s="5">
        <v>0.36316999999999999</v>
      </c>
      <c r="D239" s="5">
        <v>0.28512999999999999</v>
      </c>
      <c r="E239" s="7"/>
      <c r="G239">
        <f t="shared" si="15"/>
        <v>0.32328767123287672</v>
      </c>
      <c r="I239" s="8" cm="1">
        <f t="array" ref="I239">BSCall(B239,6,0,0.2,G239)</f>
        <v>0.17369658861441817</v>
      </c>
      <c r="J239" cm="1">
        <f t="array" ref="J239">DeltaC(B239,6,G239,0,0,0.2)</f>
        <v>0.39646171016680654</v>
      </c>
      <c r="K239" cm="1">
        <f t="array" ref="K239">GammaCP(B239,6,G239,0,0,0.2)</f>
        <v>0.5857906143556354</v>
      </c>
      <c r="M239">
        <f t="shared" si="18"/>
        <v>0.13315178040526163</v>
      </c>
      <c r="V239" cm="1">
        <f t="array" ref="V239">BSCall(B239,6.5,0,0.2,G239)</f>
        <v>5.5517795804550629E-2</v>
      </c>
      <c r="W239" cm="1">
        <f t="array" ref="W239">DeltaC(B239,6.5,G239,0,0,0.2)</f>
        <v>0.16692353340005528</v>
      </c>
      <c r="X239" cm="1">
        <f t="array" ref="X239">GammaCP(B239,6.5,G239,0,0,0.2)</f>
        <v>0.38011017221018423</v>
      </c>
      <c r="Z239">
        <f t="shared" si="16"/>
        <v>1.5411074398496205</v>
      </c>
      <c r="AA239">
        <f t="shared" si="17"/>
        <v>0.1392146109579947</v>
      </c>
      <c r="AC239">
        <f t="shared" si="19"/>
        <v>0.17251828546731462</v>
      </c>
    </row>
    <row r="240" spans="1:29" x14ac:dyDescent="0.3">
      <c r="A240" s="2">
        <v>43348</v>
      </c>
      <c r="B240">
        <v>5.8319999999999999</v>
      </c>
      <c r="C240" s="5">
        <v>0.38503999999999999</v>
      </c>
      <c r="D240" s="5">
        <v>0.30154999999999998</v>
      </c>
      <c r="E240" s="7"/>
      <c r="G240">
        <f t="shared" si="15"/>
        <v>0.32054794520547947</v>
      </c>
      <c r="I240" s="8" cm="1">
        <f t="array" ref="I240">BSCall(B240,6,0,0.2,G240)</f>
        <v>0.19145286117245197</v>
      </c>
      <c r="J240" cm="1">
        <f t="array" ref="J240">DeltaC(B240,6,G240,0,0,0.2)</f>
        <v>0.42301485935117417</v>
      </c>
      <c r="K240" cm="1">
        <f t="array" ref="K240">GammaCP(B240,6,G240,0,0,0.2)</f>
        <v>0.59282671643185436</v>
      </c>
      <c r="M240">
        <f t="shared" si="18"/>
        <v>0.15138901907293484</v>
      </c>
      <c r="V240" cm="1">
        <f t="array" ref="V240">BSCall(B240,6.5,0,0.2,G240)</f>
        <v>6.2856294456611561E-2</v>
      </c>
      <c r="W240" cm="1">
        <f t="array" ref="W240">DeltaC(B240,6.5,G240,0,0,0.2)</f>
        <v>0.18377661643874774</v>
      </c>
      <c r="X240" cm="1">
        <f t="array" ref="X240">GammaCP(B240,6.5,G240,0,0,0.2)</f>
        <v>0.40254078106224439</v>
      </c>
      <c r="Z240">
        <f t="shared" si="16"/>
        <v>1.4727121929546469</v>
      </c>
      <c r="AA240">
        <f t="shared" si="17"/>
        <v>0.15236479554188098</v>
      </c>
      <c r="AC240">
        <f t="shared" si="19"/>
        <v>0.19023157244139993</v>
      </c>
    </row>
    <row r="241" spans="1:29" x14ac:dyDescent="0.3">
      <c r="A241" s="2">
        <v>43349</v>
      </c>
      <c r="B241">
        <v>5.8040000000000003</v>
      </c>
      <c r="C241" s="5">
        <v>0.36781000000000003</v>
      </c>
      <c r="D241" s="5">
        <v>0.28732999999999997</v>
      </c>
      <c r="E241" s="7"/>
      <c r="G241">
        <f t="shared" si="15"/>
        <v>0.31780821917808222</v>
      </c>
      <c r="I241" s="8" cm="1">
        <f t="array" ref="I241">BSCall(B241,6,0,0.2,G241)</f>
        <v>0.17874887389331251</v>
      </c>
      <c r="J241" cm="1">
        <f t="array" ref="J241">DeltaC(B241,6,G241,0,0,0.2)</f>
        <v>0.40586585450528478</v>
      </c>
      <c r="K241" cm="1">
        <f t="array" ref="K241">GammaCP(B241,6,G241,0,0,0.2)</f>
        <v>0.5925842427953919</v>
      </c>
      <c r="M241">
        <f t="shared" si="18"/>
        <v>0.13954460301110214</v>
      </c>
      <c r="V241" cm="1">
        <f t="array" ref="V241">BSCall(B241,6.5,0,0.2,G241)</f>
        <v>5.7148671678873497E-2</v>
      </c>
      <c r="W241" cm="1">
        <f t="array" ref="W241">DeltaC(B241,6.5,G241,0,0,0.2)</f>
        <v>0.17153614719199245</v>
      </c>
      <c r="X241" cm="1">
        <f t="array" ref="X241">GammaCP(B241,6.5,G241,0,0,0.2)</f>
        <v>0.38893119491618738</v>
      </c>
      <c r="Z241">
        <f t="shared" si="16"/>
        <v>1.523622302713699</v>
      </c>
      <c r="AA241">
        <f t="shared" si="17"/>
        <v>0.14450955492198525</v>
      </c>
      <c r="AC241">
        <f t="shared" si="19"/>
        <v>0.1775596725086668</v>
      </c>
    </row>
    <row r="242" spans="1:29" x14ac:dyDescent="0.3">
      <c r="A242" s="2">
        <v>43350</v>
      </c>
      <c r="B242">
        <v>5.7320000000000002</v>
      </c>
      <c r="C242" s="5">
        <v>0.33359</v>
      </c>
      <c r="D242" s="5">
        <v>0.26106000000000001</v>
      </c>
      <c r="E242" s="7"/>
      <c r="G242">
        <f t="shared" si="15"/>
        <v>0.31506849315068491</v>
      </c>
      <c r="I242" s="8" cm="1">
        <f t="array" ref="I242">BSCall(B242,6,0,0.2,G242)</f>
        <v>0.15000630501400325</v>
      </c>
      <c r="J242" cm="1">
        <f t="array" ref="J242">DeltaC(B242,6,G242,0,0,0.2)</f>
        <v>0.36282874510373425</v>
      </c>
      <c r="K242" cm="1">
        <f t="array" ref="K242">GammaCP(B242,6,G242,0,0,0.2)</f>
        <v>0.58295185709672936</v>
      </c>
      <c r="M242">
        <f t="shared" si="18"/>
        <v>0.11032226148672161</v>
      </c>
      <c r="V242" cm="1">
        <f t="array" ref="V242">BSCall(B242,6.5,0,0.2,G242)</f>
        <v>4.514081952395077E-2</v>
      </c>
      <c r="W242" cm="1">
        <f t="array" ref="W242">DeltaC(B242,6.5,G242,0,0,0.2)</f>
        <v>0.14368531572098067</v>
      </c>
      <c r="X242" cm="1">
        <f t="array" ref="X242">GammaCP(B242,6.5,G242,0,0,0.2)</f>
        <v>0.35203240760806187</v>
      </c>
      <c r="Z242">
        <f t="shared" si="16"/>
        <v>1.6559607709349407</v>
      </c>
      <c r="AA242">
        <f t="shared" si="17"/>
        <v>0.12489149891038875</v>
      </c>
      <c r="AC242">
        <f t="shared" si="19"/>
        <v>0.14885955320335484</v>
      </c>
    </row>
    <row r="243" spans="1:29" x14ac:dyDescent="0.3">
      <c r="A243" s="2">
        <v>43353</v>
      </c>
      <c r="B243">
        <v>5.782</v>
      </c>
      <c r="C243" s="5">
        <v>0.35693000000000003</v>
      </c>
      <c r="D243" s="5">
        <v>0.27783000000000002</v>
      </c>
      <c r="E243" s="7"/>
      <c r="G243">
        <f t="shared" si="15"/>
        <v>0.30684931506849317</v>
      </c>
      <c r="I243" s="8" cm="1">
        <f t="array" ref="I243">BSCall(B243,6,0,0.2,G243)</f>
        <v>0.16560776474920447</v>
      </c>
      <c r="J243" cm="1">
        <f t="array" ref="J243">DeltaC(B243,6,G243,0,0,0.2)</f>
        <v>0.39025057515324524</v>
      </c>
      <c r="K243" cm="1">
        <f t="array" ref="K243">GammaCP(B243,6,G243,0,0,0.2)</f>
        <v>0.59906905988424564</v>
      </c>
      <c r="M243">
        <f t="shared" si="18"/>
        <v>0.12846369874190827</v>
      </c>
      <c r="V243" cm="1">
        <f t="array" ref="V243">BSCall(B243,6.5,0,0.2,G243)</f>
        <v>5.0700986318109265E-2</v>
      </c>
      <c r="W243" cm="1">
        <f t="array" ref="W243">DeltaC(B243,6.5,G243,0,0,0.2)</f>
        <v>0.15837675820218483</v>
      </c>
      <c r="X243" cm="1">
        <f t="array" ref="X243">GammaCP(B243,6.5,G243,0,0,0.2)</f>
        <v>0.37730428409619876</v>
      </c>
      <c r="Z243">
        <f t="shared" si="16"/>
        <v>1.5877610860403191</v>
      </c>
      <c r="AA243">
        <f t="shared" si="17"/>
        <v>0.13878612154659925</v>
      </c>
      <c r="AC243">
        <f t="shared" si="19"/>
        <v>0.1643115462398558</v>
      </c>
    </row>
    <row r="244" spans="1:29" x14ac:dyDescent="0.3">
      <c r="A244" s="2">
        <v>43354</v>
      </c>
      <c r="B244">
        <v>5.7939999999999996</v>
      </c>
      <c r="C244" s="5">
        <v>0.36098000000000002</v>
      </c>
      <c r="D244" s="5">
        <v>0.28025</v>
      </c>
      <c r="E244" s="7"/>
      <c r="G244">
        <f t="shared" si="15"/>
        <v>0.30410958904109592</v>
      </c>
      <c r="I244" s="8" cm="1">
        <f t="array" ref="I244">BSCall(B244,6,0,0.2,G244)</f>
        <v>0.16922646335286418</v>
      </c>
      <c r="J244" cm="1">
        <f t="array" ref="J244">DeltaC(B244,6,G244,0,0,0.2)</f>
        <v>0.39680820457512844</v>
      </c>
      <c r="K244" cm="1">
        <f t="array" ref="K244">GammaCP(B244,6,G244,0,0,0.2)</f>
        <v>0.60328727726788989</v>
      </c>
      <c r="M244">
        <f t="shared" si="18"/>
        <v>0.13314670564374703</v>
      </c>
      <c r="V244" cm="1">
        <f t="array" ref="V244">BSCall(B244,6.5,0,0.2,G244)</f>
        <v>5.1923366523754511E-2</v>
      </c>
      <c r="W244" cm="1">
        <f t="array" ref="W244">DeltaC(B244,6.5,G244,0,0,0.2)</f>
        <v>0.16173550207090875</v>
      </c>
      <c r="X244" cm="1">
        <f t="array" ref="X244">GammaCP(B244,6.5,G244,0,0,0.2)</f>
        <v>0.38344076769560537</v>
      </c>
      <c r="Z244">
        <f t="shared" si="16"/>
        <v>1.5733519440134487</v>
      </c>
      <c r="AA244">
        <f t="shared" si="17"/>
        <v>0.14234133797587301</v>
      </c>
      <c r="AC244">
        <f t="shared" si="19"/>
        <v>0.16791782742128442</v>
      </c>
    </row>
    <row r="245" spans="1:29" x14ac:dyDescent="0.3">
      <c r="A245" s="2">
        <v>43355</v>
      </c>
      <c r="B245">
        <v>5.7759999999999998</v>
      </c>
      <c r="C245" s="5">
        <v>0.34965000000000002</v>
      </c>
      <c r="D245" s="5">
        <v>0.27094000000000001</v>
      </c>
      <c r="E245" s="7"/>
      <c r="G245">
        <f t="shared" si="15"/>
        <v>0.30136986301369861</v>
      </c>
      <c r="I245" s="8" cm="1">
        <f t="array" ref="I245">BSCall(B245,6,0,0.2,G245)</f>
        <v>0.16108159573264791</v>
      </c>
      <c r="J245" cm="1">
        <f t="array" ref="J245">DeltaC(B245,6,G245,0,0,0.2)</f>
        <v>0.3852800651393829</v>
      </c>
      <c r="K245" cm="1">
        <f t="array" ref="K245">GammaCP(B245,6,G245,0,0,0.2)</f>
        <v>0.60288359505508893</v>
      </c>
      <c r="M245">
        <f t="shared" si="18"/>
        <v>0.1260041579613948</v>
      </c>
      <c r="V245" cm="1">
        <f t="array" ref="V245">BSCall(B245,6.5,0,0.2,G245)</f>
        <v>4.8390407323079865E-2</v>
      </c>
      <c r="W245" cm="1">
        <f t="array" ref="W245">DeltaC(B245,6.5,G245,0,0,0.2)</f>
        <v>0.15370626738888646</v>
      </c>
      <c r="X245" cm="1">
        <f t="array" ref="X245">GammaCP(B245,6.5,G245,0,0,0.2)</f>
        <v>0.37366954417559001</v>
      </c>
      <c r="Z245">
        <f t="shared" si="16"/>
        <v>1.613413788873812</v>
      </c>
      <c r="AA245">
        <f t="shared" si="17"/>
        <v>0.13728825389782834</v>
      </c>
      <c r="AC245">
        <f t="shared" si="19"/>
        <v>0.15979709511121706</v>
      </c>
    </row>
    <row r="246" spans="1:29" x14ac:dyDescent="0.3">
      <c r="A246" s="2">
        <v>43356</v>
      </c>
      <c r="B246">
        <v>5.9539999999999997</v>
      </c>
      <c r="C246" s="5">
        <v>0.43583</v>
      </c>
      <c r="D246" s="5">
        <v>0.33517999999999998</v>
      </c>
      <c r="E246" s="7"/>
      <c r="G246">
        <f t="shared" si="15"/>
        <v>0.29863013698630136</v>
      </c>
      <c r="I246" s="8" cm="1">
        <f t="array" ref="I246">BSCall(B246,6,0,0.2,G246)</f>
        <v>0.23812467856809416</v>
      </c>
      <c r="J246" cm="1">
        <f t="array" ref="J246">DeltaC(B246,6,G246,0,0,0.2)</f>
        <v>0.49370881119864518</v>
      </c>
      <c r="K246" cm="1">
        <f t="array" ref="K246">GammaCP(B246,6,G246,0,0,0.2)</f>
        <v>0.61298580539959902</v>
      </c>
      <c r="M246">
        <f t="shared" si="18"/>
        <v>0.19458400955620492</v>
      </c>
      <c r="V246" cm="1">
        <f t="array" ref="V246">BSCall(B246,6.5,0,0.2,G246)</f>
        <v>8.1260236047701051E-2</v>
      </c>
      <c r="W246" cm="1">
        <f t="array" ref="W246">DeltaC(B246,6.5,G246,0,0,0.2)</f>
        <v>0.22719060154544515</v>
      </c>
      <c r="X246" cm="1">
        <f t="array" ref="X246">GammaCP(B246,6.5,G246,0,0,0.2)</f>
        <v>0.46341186069589635</v>
      </c>
      <c r="Z246">
        <f t="shared" si="16"/>
        <v>1.3227667597438928</v>
      </c>
      <c r="AA246">
        <f t="shared" si="17"/>
        <v>0.19318863534811087</v>
      </c>
      <c r="AC246">
        <f t="shared" si="19"/>
        <v>0.23726703920725484</v>
      </c>
    </row>
    <row r="247" spans="1:29" x14ac:dyDescent="0.3">
      <c r="A247" s="2">
        <v>43357</v>
      </c>
      <c r="B247">
        <v>5.85</v>
      </c>
      <c r="C247" s="5">
        <v>0.36926999999999999</v>
      </c>
      <c r="D247" s="5">
        <v>0.28105000000000002</v>
      </c>
      <c r="E247" s="7"/>
      <c r="G247">
        <f t="shared" si="15"/>
        <v>0.29589041095890412</v>
      </c>
      <c r="I247" s="8" cm="1">
        <f t="array" ref="I247">BSCall(B247,6,0,0.2,G247)</f>
        <v>0.18894907608755274</v>
      </c>
      <c r="J247" cm="1">
        <f t="array" ref="J247">DeltaC(B247,6,G247,0,0,0.2)</f>
        <v>0.42923483230663312</v>
      </c>
      <c r="K247" cm="1">
        <f t="array" ref="K247">GammaCP(B247,6,G247,0,0,0.2)</f>
        <v>0.61695531174323182</v>
      </c>
      <c r="M247">
        <f t="shared" si="18"/>
        <v>0.14323829319154577</v>
      </c>
      <c r="V247" cm="1">
        <f t="array" ref="V247">BSCall(B247,6.5,0,0.2,G247)</f>
        <v>5.9276034650550646E-2</v>
      </c>
      <c r="W247" cm="1">
        <f t="array" ref="W247">DeltaC(B247,6.5,G247,0,0,0.2)</f>
        <v>0.18034111444668324</v>
      </c>
      <c r="X247" cm="1">
        <f t="array" ref="X247">GammaCP(B247,6.5,G247,0,0,0.2)</f>
        <v>0.41278952661329332</v>
      </c>
      <c r="Z247">
        <f t="shared" si="16"/>
        <v>1.4946002065629047</v>
      </c>
      <c r="AA247">
        <f t="shared" si="17"/>
        <v>0.1596969654028359</v>
      </c>
      <c r="AC247">
        <f t="shared" si="19"/>
        <v>0.18809545028338548</v>
      </c>
    </row>
    <row r="248" spans="1:29" x14ac:dyDescent="0.3">
      <c r="A248" s="2">
        <v>43360</v>
      </c>
      <c r="B248">
        <v>5.8819999999999997</v>
      </c>
      <c r="C248" s="5">
        <v>0.37798999999999999</v>
      </c>
      <c r="D248" s="5">
        <v>0.28491</v>
      </c>
      <c r="E248" s="7"/>
      <c r="G248">
        <f t="shared" si="15"/>
        <v>0.28767123287671231</v>
      </c>
      <c r="I248" s="8" cm="1">
        <f t="array" ref="I248">BSCall(B248,6,0,0.2,G248)</f>
        <v>0.19946011157429089</v>
      </c>
      <c r="J248" cm="1">
        <f t="array" ref="J248">DeltaC(B248,6,G248,0,0,0.2)</f>
        <v>0.44767808877632453</v>
      </c>
      <c r="K248" cm="1">
        <f t="array" ref="K248">GammaCP(B248,6,G248,0,0,0.2)</f>
        <v>0.62683056291585637</v>
      </c>
      <c r="M248">
        <f t="shared" si="18"/>
        <v>0.15697380782535805</v>
      </c>
      <c r="V248" cm="1">
        <f t="array" ref="V248">BSCall(B248,6.5,0,0.2,G248)</f>
        <v>6.281719736568947E-2</v>
      </c>
      <c r="W248" cm="1">
        <f t="array" ref="W248">DeltaC(B248,6.5,G248,0,0,0.2)</f>
        <v>0.19005062119668475</v>
      </c>
      <c r="X248" cm="1">
        <f t="array" ref="X248">GammaCP(B248,6.5,G248,0,0,0.2)</f>
        <v>0.43015220090576417</v>
      </c>
      <c r="Z248">
        <f t="shared" si="16"/>
        <v>1.4572297005477362</v>
      </c>
      <c r="AA248">
        <f t="shared" si="17"/>
        <v>0.17073067896096839</v>
      </c>
      <c r="AC248">
        <f t="shared" si="19"/>
        <v>0.19849837570179557</v>
      </c>
    </row>
    <row r="249" spans="1:29" x14ac:dyDescent="0.3">
      <c r="A249" s="2">
        <v>43361</v>
      </c>
      <c r="B249">
        <v>5.9740000000000002</v>
      </c>
      <c r="C249" s="5">
        <v>0.41904999999999998</v>
      </c>
      <c r="D249" s="5">
        <v>0.31359999999999999</v>
      </c>
      <c r="E249" s="7"/>
      <c r="G249">
        <f t="shared" si="15"/>
        <v>0.28493150684931506</v>
      </c>
      <c r="I249" s="8" cm="1">
        <f t="array" ref="I249">BSCall(B249,6,0,0.2,G249)</f>
        <v>0.24207749186914329</v>
      </c>
      <c r="J249" cm="1">
        <f t="array" ref="J249">DeltaC(B249,6,G249,0,0,0.2)</f>
        <v>0.50506663521348982</v>
      </c>
      <c r="K249" cm="1">
        <f t="array" ref="K249">GammaCP(B249,6,G249,0,0,0.2)</f>
        <v>0.62547447025198899</v>
      </c>
      <c r="M249">
        <f t="shared" si="18"/>
        <v>0.19816019199278015</v>
      </c>
      <c r="V249" cm="1">
        <f t="array" ref="V249">BSCall(B249,6.5,0,0.2,G249)</f>
        <v>8.1257259157202499E-2</v>
      </c>
      <c r="W249" cm="1">
        <f t="array" ref="W249">DeltaC(B249,6.5,G249,0,0,0.2)</f>
        <v>0.2305434695968549</v>
      </c>
      <c r="X249" cm="1">
        <f t="array" ref="X249">GammaCP(B249,6.5,G249,0,0,0.2)</f>
        <v>0.47673641478979506</v>
      </c>
      <c r="Z249">
        <f t="shared" si="16"/>
        <v>1.3119922264125266</v>
      </c>
      <c r="AA249">
        <f t="shared" si="17"/>
        <v>0.20259539525224352</v>
      </c>
      <c r="AC249">
        <f t="shared" si="19"/>
        <v>0.24107700388873302</v>
      </c>
    </row>
    <row r="250" spans="1:29" x14ac:dyDescent="0.3">
      <c r="A250" s="2">
        <v>43362</v>
      </c>
      <c r="B250">
        <v>6.032</v>
      </c>
      <c r="C250" s="5">
        <v>0.43855</v>
      </c>
      <c r="D250" s="5">
        <v>0.32432</v>
      </c>
      <c r="E250" s="7"/>
      <c r="G250">
        <f t="shared" si="15"/>
        <v>0.28219178082191781</v>
      </c>
      <c r="I250" s="8" cm="1">
        <f t="array" ref="I250">BSCall(B250,6,0,0.2,G250)</f>
        <v>0.27118737286045214</v>
      </c>
      <c r="J250" cm="1">
        <f t="array" ref="J250">DeltaC(B250,6,G250,0,0,0.2)</f>
        <v>0.54109292281967258</v>
      </c>
      <c r="K250" cm="1">
        <f t="array" ref="K250">GammaCP(B250,6,G250,0,0,0.2)</f>
        <v>0.61920498893280174</v>
      </c>
      <c r="M250">
        <f t="shared" si="18"/>
        <v>0.22745405683516248</v>
      </c>
      <c r="V250" cm="1">
        <f t="array" ref="V250">BSCall(B250,6.5,0,0.2,G250)</f>
        <v>9.4442199394844328E-2</v>
      </c>
      <c r="W250" cm="1">
        <f t="array" ref="W250">DeltaC(B250,6.5,G250,0,0,0.2)</f>
        <v>0.25778085894659752</v>
      </c>
      <c r="X250" cm="1">
        <f t="array" ref="X250">GammaCP(B250,6.5,G250,0,0,0.2)</f>
        <v>0.50390051520300561</v>
      </c>
      <c r="Z250">
        <f t="shared" si="16"/>
        <v>1.2288238853721822</v>
      </c>
      <c r="AA250">
        <f t="shared" si="17"/>
        <v>0.22432564615433614</v>
      </c>
      <c r="AC250">
        <f t="shared" si="19"/>
        <v>0.27012607591086291</v>
      </c>
    </row>
    <row r="251" spans="1:29" x14ac:dyDescent="0.3">
      <c r="A251" s="2">
        <v>43363</v>
      </c>
      <c r="B251">
        <v>6.0439999999999996</v>
      </c>
      <c r="C251" s="5">
        <v>0.43125000000000002</v>
      </c>
      <c r="D251" s="5">
        <v>0.31467000000000001</v>
      </c>
      <c r="E251" s="7"/>
      <c r="G251">
        <f t="shared" si="15"/>
        <v>0.27945205479452057</v>
      </c>
      <c r="I251" s="8" cm="1">
        <f t="array" ref="I251">BSCall(B251,6,0,0.2,G251)</f>
        <v>0.27648764282898464</v>
      </c>
      <c r="J251" cm="1">
        <f t="array" ref="J251">DeltaC(B251,6,G251,0,0,0.2)</f>
        <v>0.54853921504315051</v>
      </c>
      <c r="K251" cm="1">
        <f t="array" ref="K251">GammaCP(B251,6,G251,0,0,0.2)</f>
        <v>0.61968566500012146</v>
      </c>
      <c r="M251">
        <f t="shared" si="18"/>
        <v>0.23394717190899833</v>
      </c>
      <c r="V251" cm="1">
        <f t="array" ref="V251">BSCall(B251,6.5,0,0.2,G251)</f>
        <v>9.6551885615400401E-2</v>
      </c>
      <c r="W251" cm="1">
        <f t="array" ref="W251">DeltaC(B251,6.5,G251,0,0,0.2)</f>
        <v>0.262680910406631</v>
      </c>
      <c r="X251" cm="1">
        <f t="array" ref="X251">GammaCP(B251,6.5,G251,0,0,0.2)</f>
        <v>0.51028711540957883</v>
      </c>
      <c r="Z251">
        <f t="shared" si="16"/>
        <v>1.2143862666466398</v>
      </c>
      <c r="AA251">
        <f t="shared" si="17"/>
        <v>0.22954312493510143</v>
      </c>
      <c r="AC251">
        <f t="shared" si="19"/>
        <v>0.27541041648317471</v>
      </c>
    </row>
    <row r="252" spans="1:29" x14ac:dyDescent="0.3">
      <c r="A252" s="2">
        <v>43364</v>
      </c>
      <c r="B252">
        <v>6.1139999999999999</v>
      </c>
      <c r="C252" s="5">
        <v>0.45905000000000001</v>
      </c>
      <c r="D252" s="5">
        <v>0.33106999999999998</v>
      </c>
      <c r="E252" s="7"/>
      <c r="G252">
        <f t="shared" si="15"/>
        <v>0.27671232876712326</v>
      </c>
      <c r="I252" s="8" cm="1">
        <f t="array" ref="I252">BSCall(B252,6,0,0.2,G252)</f>
        <v>0.31515580866919146</v>
      </c>
      <c r="J252" cm="1">
        <f t="array" ref="J252">DeltaC(B252,6,G252,0,0,0.2)</f>
        <v>0.59153902965012983</v>
      </c>
      <c r="K252" cm="1">
        <f t="array" ref="K252">GammaCP(B252,6,G252,0,0,0.2)</f>
        <v>0.6038129131219433</v>
      </c>
      <c r="M252">
        <f t="shared" si="18"/>
        <v>0.27234491696201901</v>
      </c>
      <c r="V252" cm="1">
        <f t="array" ref="V252">BSCall(B252,6.5,0,0.2,G252)</f>
        <v>0.11511041767032948</v>
      </c>
      <c r="W252" cm="1">
        <f t="array" ref="W252">DeltaC(B252,6.5,G252,0,0,0.2)</f>
        <v>0.29829639902415739</v>
      </c>
      <c r="X252" cm="1">
        <f t="array" ref="X252">GammaCP(B252,6.5,G252,0,0,0.2)</f>
        <v>0.5391420771202543</v>
      </c>
      <c r="Z252">
        <f t="shared" si="16"/>
        <v>1.1199513796940475</v>
      </c>
      <c r="AA252">
        <f t="shared" si="17"/>
        <v>0.25746156600525866</v>
      </c>
      <c r="AC252">
        <f t="shared" si="19"/>
        <v>0.31401566168525918</v>
      </c>
    </row>
    <row r="253" spans="1:29" x14ac:dyDescent="0.3">
      <c r="A253" s="2">
        <v>43367</v>
      </c>
      <c r="B253">
        <v>6.0659999999999998</v>
      </c>
      <c r="C253" s="5">
        <v>0.4138</v>
      </c>
      <c r="D253" s="5">
        <v>0.29192000000000001</v>
      </c>
      <c r="E253" s="7"/>
      <c r="G253">
        <f t="shared" si="15"/>
        <v>0.26849315068493151</v>
      </c>
      <c r="I253" s="8" cm="1">
        <f t="array" ref="I253">BSCall(B253,6,0,0.2,G253)</f>
        <v>0.2837000494668902</v>
      </c>
      <c r="J253" cm="1">
        <f t="array" ref="J253">DeltaC(B253,6,G253,0,0,0.2)</f>
        <v>0.56252768025744515</v>
      </c>
      <c r="K253" cm="1">
        <f t="array" ref="K253">GammaCP(B253,6,G253,0,0,0.2)</f>
        <v>0.62680520051197774</v>
      </c>
      <c r="M253">
        <f t="shared" si="18"/>
        <v>0.24395104353881275</v>
      </c>
      <c r="V253" cm="1">
        <f t="array" ref="V253">BSCall(B253,6.5,0,0.2,G253)</f>
        <v>9.8242771187044831E-2</v>
      </c>
      <c r="W253" cm="1">
        <f t="array" ref="W253">DeltaC(B253,6.5,G253,0,0,0.2)</f>
        <v>0.26928110338428396</v>
      </c>
      <c r="X253" cm="1">
        <f t="array" ref="X253">GammaCP(B253,6.5,G253,0,0,0.2)</f>
        <v>0.52527117757867658</v>
      </c>
      <c r="Z253">
        <f t="shared" si="16"/>
        <v>1.1932982947995336</v>
      </c>
      <c r="AA253">
        <f t="shared" si="17"/>
        <v>0.24119499876724215</v>
      </c>
      <c r="AC253">
        <f t="shared" si="19"/>
        <v>0.28276656256586064</v>
      </c>
    </row>
    <row r="254" spans="1:29" x14ac:dyDescent="0.3">
      <c r="A254" s="2">
        <v>43368</v>
      </c>
      <c r="B254">
        <v>6.0720000000000001</v>
      </c>
      <c r="C254" s="5">
        <v>0.41066000000000003</v>
      </c>
      <c r="D254" s="5">
        <v>0.28737000000000001</v>
      </c>
      <c r="E254" s="7"/>
      <c r="G254">
        <f t="shared" si="15"/>
        <v>0.26575342465753427</v>
      </c>
      <c r="I254" s="8" cm="1">
        <f t="array" ref="I254">BSCall(B254,6,0,0.2,G254)</f>
        <v>0.2858202007664139</v>
      </c>
      <c r="J254" cm="1">
        <f t="array" ref="J254">DeltaC(B254,6,G254,0,0,0.2)</f>
        <v>0.56641232413416964</v>
      </c>
      <c r="K254" cm="1">
        <f t="array" ref="K254">GammaCP(B254,6,G254,0,0,0.2)</f>
        <v>0.62839814294277385</v>
      </c>
      <c r="M254">
        <f t="shared" si="18"/>
        <v>0.24732620962035756</v>
      </c>
      <c r="V254" cm="1">
        <f t="array" ref="V254">BSCall(B254,6.5,0,0.2,G254)</f>
        <v>9.8800063955048367E-2</v>
      </c>
      <c r="W254" cm="1">
        <f t="array" ref="W254">DeltaC(B254,6.5,G254,0,0,0.2)</f>
        <v>0.27123132345102563</v>
      </c>
      <c r="X254" cm="1">
        <f t="array" ref="X254">GammaCP(B254,6.5,G254,0,0,0.2)</f>
        <v>0.52935671615326507</v>
      </c>
      <c r="Z254">
        <f t="shared" si="16"/>
        <v>1.1870977051339295</v>
      </c>
      <c r="AA254">
        <f t="shared" si="17"/>
        <v>0.24443424250501855</v>
      </c>
      <c r="AC254">
        <f t="shared" si="19"/>
        <v>0.28487874906822691</v>
      </c>
    </row>
    <row r="255" spans="1:29" x14ac:dyDescent="0.3">
      <c r="A255" s="2">
        <v>43369</v>
      </c>
      <c r="B255">
        <v>6.0419999999999998</v>
      </c>
      <c r="C255" s="5">
        <v>0.38804</v>
      </c>
      <c r="D255" s="5">
        <v>0.26951999999999998</v>
      </c>
      <c r="E255" s="7"/>
      <c r="G255">
        <f t="shared" si="15"/>
        <v>0.26301369863013696</v>
      </c>
      <c r="I255" s="8" cm="1">
        <f t="array" ref="I255">BSCall(B255,6,0,0.2,G255)</f>
        <v>0.26783653557779896</v>
      </c>
      <c r="J255" cm="1">
        <f t="array" ref="J255">DeltaC(B255,6,G255,0,0,0.2)</f>
        <v>0.54747853150973369</v>
      </c>
      <c r="K255" cm="1">
        <f t="array" ref="K255">GammaCP(B255,6,G255,0,0,0.2)</f>
        <v>0.6391752685150911</v>
      </c>
      <c r="M255">
        <f t="shared" si="18"/>
        <v>0.23033383989633233</v>
      </c>
      <c r="V255" cm="1">
        <f t="array" ref="V255">BSCall(B255,6.5,0,0.2,G255)</f>
        <v>8.9865780684184493E-2</v>
      </c>
      <c r="W255" cm="1">
        <f t="array" ref="W255">DeltaC(B255,6.5,G255,0,0,0.2)</f>
        <v>0.2542804180705005</v>
      </c>
      <c r="X255" cm="1">
        <f t="array" ref="X255">GammaCP(B255,6.5,G255,0,0,0.2)</f>
        <v>0.51738154130432212</v>
      </c>
      <c r="Z255">
        <f t="shared" si="16"/>
        <v>1.235404082843246</v>
      </c>
      <c r="AA255">
        <f t="shared" si="17"/>
        <v>0.23333946483834989</v>
      </c>
      <c r="AC255">
        <f t="shared" si="19"/>
        <v>0.26693985462521735</v>
      </c>
    </row>
    <row r="256" spans="1:29" x14ac:dyDescent="0.3">
      <c r="A256" s="2">
        <v>43370</v>
      </c>
      <c r="B256">
        <v>6.0279999999999996</v>
      </c>
      <c r="C256" s="5">
        <v>0.37835000000000002</v>
      </c>
      <c r="D256" s="5">
        <v>0.26190999999999998</v>
      </c>
      <c r="E256" s="7"/>
      <c r="G256">
        <f t="shared" si="15"/>
        <v>0.26027397260273971</v>
      </c>
      <c r="I256" s="8" cm="1">
        <f t="array" ref="I256">BSCall(B256,6,0,0.2,G256)</f>
        <v>0.25895251918282414</v>
      </c>
      <c r="J256" cm="1">
        <f t="array" ref="J256">DeltaC(B256,6,G256,0,0,0.2)</f>
        <v>0.53849663740230813</v>
      </c>
      <c r="K256" cm="1">
        <f t="array" ref="K256">GammaCP(B256,6,G256,0,0,0.2)</f>
        <v>0.6455994638450403</v>
      </c>
      <c r="M256">
        <f t="shared" si="18"/>
        <v>0.22266914045519592</v>
      </c>
      <c r="V256" cm="1">
        <f t="array" ref="V256">BSCall(B256,6.5,0,0.2,G256)</f>
        <v>8.5338173250616878E-2</v>
      </c>
      <c r="W256" cm="1">
        <f t="array" ref="W256">DeltaC(B256,6.5,G256,0,0,0.2)</f>
        <v>0.24578209004163759</v>
      </c>
      <c r="X256" cm="1">
        <f t="array" ref="X256">GammaCP(B256,6.5,G256,0,0,0.2)</f>
        <v>0.51198702960951559</v>
      </c>
      <c r="Z256">
        <f t="shared" si="16"/>
        <v>1.2609683966748704</v>
      </c>
      <c r="AA256">
        <f t="shared" si="17"/>
        <v>0.22857318939110577</v>
      </c>
      <c r="AC256">
        <f t="shared" si="19"/>
        <v>0.25807967740853954</v>
      </c>
    </row>
    <row r="257" spans="1:29" x14ac:dyDescent="0.3">
      <c r="A257" s="2">
        <v>43371</v>
      </c>
      <c r="B257">
        <v>5.8440000000000003</v>
      </c>
      <c r="C257" s="5">
        <v>0.28498000000000001</v>
      </c>
      <c r="D257" s="5">
        <v>0.19736999999999999</v>
      </c>
      <c r="E257" s="7"/>
      <c r="G257">
        <f t="shared" si="15"/>
        <v>0.25753424657534246</v>
      </c>
      <c r="I257" s="8" cm="1">
        <f t="array" ref="I257">BSCall(B257,6,0,0.2,G257)</f>
        <v>0.16970558912157729</v>
      </c>
      <c r="J257" cm="1">
        <f t="array" ref="J257">DeltaC(B257,6,G257,0,0,0.2)</f>
        <v>0.41729835628785422</v>
      </c>
      <c r="K257" cm="1">
        <f t="array" ref="K257">GammaCP(B257,6,G257,0,0,0.2)</f>
        <v>0.65808867160457696</v>
      </c>
      <c r="M257">
        <f t="shared" si="18"/>
        <v>0.12358575917317162</v>
      </c>
      <c r="V257" cm="1">
        <f t="array" ref="V257">BSCall(B257,6.5,0,0.2,G257)</f>
        <v>4.7468554968214338E-2</v>
      </c>
      <c r="W257" cm="1">
        <f t="array" ref="W257">DeltaC(B257,6.5,G257,0,0,0.2)</f>
        <v>0.15927510293789862</v>
      </c>
      <c r="X257" cm="1">
        <f t="array" ref="X257">GammaCP(B257,6.5,G257,0,0,0.2)</f>
        <v>0.40899199102816192</v>
      </c>
      <c r="Z257">
        <f t="shared" si="16"/>
        <v>1.6090502651414096</v>
      </c>
      <c r="AA257">
        <f t="shared" si="17"/>
        <v>0.16101670967520315</v>
      </c>
      <c r="AC257">
        <f t="shared" si="19"/>
        <v>0.16826981871232577</v>
      </c>
    </row>
    <row r="258" spans="1:29" x14ac:dyDescent="0.3">
      <c r="A258" s="2">
        <v>43374</v>
      </c>
      <c r="B258">
        <v>5.7240000000000002</v>
      </c>
      <c r="C258" s="5">
        <v>0.24260999999999999</v>
      </c>
      <c r="D258" s="5">
        <v>0.16974</v>
      </c>
      <c r="E258" s="7"/>
      <c r="G258">
        <f t="shared" si="15"/>
        <v>0.24931506849315069</v>
      </c>
      <c r="I258" s="8" cm="1">
        <f t="array" ref="I258">BSCall(B258,6,0,0.2,G258)</f>
        <v>0.12090028199517699</v>
      </c>
      <c r="J258" cm="1">
        <f t="array" ref="J258">DeltaC(B258,6,G258,0,0,0.2)</f>
        <v>0.33664717508611836</v>
      </c>
      <c r="K258" cm="1">
        <f t="array" ref="K258">GammaCP(B258,6,G258,0,0,0.2)</f>
        <v>0.63856237168323127</v>
      </c>
      <c r="M258">
        <f t="shared" si="18"/>
        <v>7.3509956418629063E-2</v>
      </c>
      <c r="V258" cm="1">
        <f t="array" ref="V258">BSCall(B258,6.5,0,0.2,G258)</f>
        <v>2.9332444747991349E-2</v>
      </c>
      <c r="W258" cm="1">
        <f t="array" ref="W258">DeltaC(B258,6.5,G258,0,0,0.2)</f>
        <v>0.11063523085038421</v>
      </c>
      <c r="X258" cm="1">
        <f t="array" ref="X258">GammaCP(B258,6.5,G258,0,0,0.2)</f>
        <v>0.33031587262537582</v>
      </c>
      <c r="Z258">
        <f t="shared" si="16"/>
        <v>1.9331870630614529</v>
      </c>
      <c r="AA258">
        <f t="shared" si="17"/>
        <v>0.12276857808733826</v>
      </c>
      <c r="AC258">
        <f t="shared" si="19"/>
        <v>0.11976590059281775</v>
      </c>
    </row>
    <row r="259" spans="1:29" x14ac:dyDescent="0.3">
      <c r="A259" s="3">
        <v>43375</v>
      </c>
      <c r="B259" s="4">
        <v>5.69</v>
      </c>
      <c r="C259" s="5">
        <v>0.24490999999999999</v>
      </c>
      <c r="D259" s="5">
        <v>0.17452000000000001</v>
      </c>
      <c r="E259" s="7"/>
      <c r="G259">
        <f t="shared" si="15"/>
        <v>0.24657534246575341</v>
      </c>
      <c r="I259" s="8" cm="1">
        <f t="array" ref="I259">BSCall(B259,6,0,0.2,G259)</f>
        <v>0.10870939295543525</v>
      </c>
      <c r="J259" cm="1">
        <f t="array" ref="J259">DeltaC(B259,6,G259,0,0,0.2)</f>
        <v>0.31401300352073713</v>
      </c>
      <c r="K259" cm="1">
        <f t="array" ref="K259">GammaCP(B259,6,G259,0,0,0.2)</f>
        <v>0.62779562353755591</v>
      </c>
      <c r="M259">
        <f t="shared" si="18"/>
        <v>6.2063952465701101E-2</v>
      </c>
      <c r="V259" cm="1">
        <f t="array" ref="V259">BSCall(B259,6.5,0,0.2,G259)</f>
        <v>2.5211667874301402E-2</v>
      </c>
      <c r="W259" cm="1">
        <f t="array" ref="W259">DeltaC(B259,6.5,G259,0,0,0.2)</f>
        <v>9.8443143370350608E-2</v>
      </c>
      <c r="X259" cm="1">
        <f t="array" ref="X259">GammaCP(B259,6.5,G259,0,0,0.2)</f>
        <v>0.30702440800815944</v>
      </c>
      <c r="Z259">
        <f t="shared" si="16"/>
        <v>2.0447743148840196</v>
      </c>
      <c r="AA259">
        <f t="shared" si="17"/>
        <v>0.11271899248059916</v>
      </c>
      <c r="AC259">
        <f t="shared" si="19"/>
        <v>0.10762553639586804</v>
      </c>
    </row>
    <row r="260" spans="1:29" x14ac:dyDescent="0.3">
      <c r="A260" s="3">
        <v>43376</v>
      </c>
      <c r="B260" s="4">
        <v>5.726</v>
      </c>
      <c r="C260" s="5">
        <v>0.27190999999999999</v>
      </c>
      <c r="D260" s="5">
        <v>0.19592000000000001</v>
      </c>
      <c r="E260" s="7"/>
      <c r="G260">
        <f t="shared" si="15"/>
        <v>0.24383561643835616</v>
      </c>
      <c r="I260" s="8" cm="1">
        <f t="array" ref="I260">BSCall(B260,6,0,0.2,G260)</f>
        <v>0.11926789439856278</v>
      </c>
      <c r="J260" cm="1">
        <f t="array" ref="J260">DeltaC(B260,6,G260,0,0,0.2)</f>
        <v>0.33581409705243809</v>
      </c>
      <c r="K260" cm="1">
        <f t="array" ref="K260">GammaCP(B260,6,G260,0,0,0.2)</f>
        <v>0.64484901647006176</v>
      </c>
      <c r="M260">
        <f t="shared" si="18"/>
        <v>7.3368420592447511E-2</v>
      </c>
      <c r="V260" cm="1">
        <f t="array" ref="V260">BSCall(B260,6.5,0,0.2,G260)</f>
        <v>2.8366940325934231E-2</v>
      </c>
      <c r="W260" cm="1">
        <f t="array" ref="W260">DeltaC(B260,6.5,G260,0,0,0.2)</f>
        <v>0.10852766156017596</v>
      </c>
      <c r="X260" cm="1">
        <f t="array" ref="X260">GammaCP(B260,6.5,G260,0,0,0.2)</f>
        <v>0.32931048081809666</v>
      </c>
      <c r="Z260">
        <f t="shared" si="16"/>
        <v>1.9581794507969552</v>
      </c>
      <c r="AA260">
        <f t="shared" si="17"/>
        <v>0.12329746034225489</v>
      </c>
      <c r="AC260">
        <f t="shared" si="19"/>
        <v>0.1181352401907295</v>
      </c>
    </row>
  </sheetData>
  <mergeCells count="1">
    <mergeCell ref="C2:D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TD3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GARCIN Matthieu</dc:creator>
  <cp:lastModifiedBy>MARGHERITA BONFIGLIOLI</cp:lastModifiedBy>
  <dcterms:created xsi:type="dcterms:W3CDTF">2018-10-09T13:28:11Z</dcterms:created>
  <dcterms:modified xsi:type="dcterms:W3CDTF">2023-10-30T15:49:50Z</dcterms:modified>
</cp:coreProperties>
</file>